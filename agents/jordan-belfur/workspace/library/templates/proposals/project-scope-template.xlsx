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 Estimator - SALES" sheetId="1" r:id="rId5"/>
    <sheet state="visible" name="Output to go into proposal appe" sheetId="2" r:id="rId6"/>
    <sheet state="visible" name="Project Scope and Pricing Table" sheetId="3" r:id="rId7"/>
  </sheets>
  <definedNames>
    <definedName hidden="1" localSheetId="1" name="_xlnm._FilterDatabase">'Output to go into proposal appe'!$A$3:$V$1002</definedName>
  </definedNames>
  <calcPr/>
</workbook>
</file>

<file path=xl/sharedStrings.xml><?xml version="1.0" encoding="utf-8"?>
<sst xmlns="http://schemas.openxmlformats.org/spreadsheetml/2006/main" count="934" uniqueCount="225">
  <si>
    <t>STEP 1 - is this item in or out of scope:</t>
  </si>
  <si>
    <t>STEP 2 - for yellow cells only:</t>
  </si>
  <si>
    <t>STEP 3 - add assumptions here in client-friendly language:</t>
  </si>
  <si>
    <t>Phase</t>
  </si>
  <si>
    <t>Service</t>
  </si>
  <si>
    <t>Area</t>
  </si>
  <si>
    <t>Deliverable</t>
  </si>
  <si>
    <t>Is this deliverable in scope?</t>
  </si>
  <si>
    <t>Type (variable quantity or fixed)</t>
  </si>
  <si>
    <t>Enter quantity here</t>
  </si>
  <si>
    <t>Fixed quantity</t>
  </si>
  <si>
    <t>Total quantity scoped</t>
  </si>
  <si>
    <t>Effort per quantity unit (hours)</t>
  </si>
  <si>
    <t>Total effort scoped for this deliverable (hours)</t>
  </si>
  <si>
    <t>Rate ($/hr)</t>
  </si>
  <si>
    <t>Overhead %</t>
  </si>
  <si>
    <t>Fully Loaded Cost ($)</t>
  </si>
  <si>
    <t>Min Sell ($)</t>
  </si>
  <si>
    <t>Assumptions</t>
  </si>
  <si>
    <t>FOUNDATIONS</t>
  </si>
  <si>
    <t>Design</t>
  </si>
  <si>
    <t>Discovery</t>
  </si>
  <si>
    <t>Kickoff + stakeholder alignment workshop</t>
  </si>
  <si>
    <t>NO</t>
  </si>
  <si>
    <t>FIXED</t>
  </si>
  <si>
    <t>Competitive website review (per competitor)</t>
  </si>
  <si>
    <t>VARIABLE</t>
  </si>
  <si>
    <t>Number of competitor websites to be audited:</t>
  </si>
  <si>
    <t>Design inspiration / moodboard sprint</t>
  </si>
  <si>
    <t>Branding</t>
  </si>
  <si>
    <t>Brand audit (current guidelines + assets)</t>
  </si>
  <si>
    <t>DESIGN</t>
  </si>
  <si>
    <t>Logo refinement (light)</t>
  </si>
  <si>
    <t>Logo redesign (full)</t>
  </si>
  <si>
    <t>Color palette system</t>
  </si>
  <si>
    <t>Typography system</t>
  </si>
  <si>
    <t>Iconography style + starter set (10 icons)</t>
  </si>
  <si>
    <t>Illustration style definition</t>
  </si>
  <si>
    <t>Brand guidelines (lite – 10–15 pages)</t>
  </si>
  <si>
    <t>UX</t>
  </si>
  <si>
    <t>Information architecture + sitemap</t>
  </si>
  <si>
    <t>Wireframes – homepage</t>
  </si>
  <si>
    <t>Wireframes – template page type (per template)</t>
  </si>
  <si>
    <t>Number of templates we are assuming:</t>
  </si>
  <si>
    <t>Form UX (contact/demo) wireframe</t>
  </si>
  <si>
    <t>Pricing UX wireframe</t>
  </si>
  <si>
    <t>UI System</t>
  </si>
  <si>
    <t>Figma project setup + page grid</t>
  </si>
  <si>
    <t>UI kit: typography styles</t>
  </si>
  <si>
    <t>UI kit: color tokens + semantic roles</t>
  </si>
  <si>
    <t>UI kit: spacing scale + layout primitives</t>
  </si>
  <si>
    <t>Component design: buttons (states)</t>
  </si>
  <si>
    <t>Component design: forms (inputs, selects, errors)</t>
  </si>
  <si>
    <t>Component design: cards (variants)</t>
  </si>
  <si>
    <t>Component design: accordions + tabs</t>
  </si>
  <si>
    <t>Component design: sliders/carousels</t>
  </si>
  <si>
    <t>Component design: pricing table</t>
  </si>
  <si>
    <t>Component design: testimonials</t>
  </si>
  <si>
    <t>Component design: CTAs (banner, inline, sticky)</t>
  </si>
  <si>
    <t>Component design: navigation (desktop)</t>
  </si>
  <si>
    <t>Component design: navigation (mobile)</t>
  </si>
  <si>
    <t>Component design: footer system</t>
  </si>
  <si>
    <t>Page UI</t>
  </si>
  <si>
    <t>Homepage UI design</t>
  </si>
  <si>
    <t>Pillar / solution page UI design</t>
  </si>
  <si>
    <t>Use case page UI design</t>
  </si>
  <si>
    <t>Industry page UI design</t>
  </si>
  <si>
    <t>Product overview page UI design</t>
  </si>
  <si>
    <t>Product detail page UI design</t>
  </si>
  <si>
    <t>Integrations listing page UI design</t>
  </si>
  <si>
    <t>Integration detail page UI design</t>
  </si>
  <si>
    <t>Resource hub UI design</t>
  </si>
  <si>
    <t>Blog listing UI design</t>
  </si>
  <si>
    <t>Blog article template UI design</t>
  </si>
  <si>
    <t>Case study template UI design</t>
  </si>
  <si>
    <t>Case study page UI design (example)</t>
  </si>
  <si>
    <t>About page UI design</t>
  </si>
  <si>
    <t>Contact/Demo page UI design</t>
  </si>
  <si>
    <t>Pricing page UI design</t>
  </si>
  <si>
    <t>Security/Compliance page UI design</t>
  </si>
  <si>
    <t>Careers listing UI design</t>
  </si>
  <si>
    <t>Job detail page UI design</t>
  </si>
  <si>
    <t>Legal template UI design</t>
  </si>
  <si>
    <t>404 page UI design</t>
  </si>
  <si>
    <t>Graphics</t>
  </si>
  <si>
    <t>Hero illustration / composite (per page)</t>
  </si>
  <si>
    <t>Number of pages needing hero illustration / composite:</t>
  </si>
  <si>
    <t>Product UI mockup (per screenshot)</t>
  </si>
  <si>
    <t>Number of product UI mock up screenshots needed:</t>
  </si>
  <si>
    <t>Feature diagram (per diagram)</t>
  </si>
  <si>
    <t>Number of feature diagrams:</t>
  </si>
  <si>
    <t>Background pattern / texture</t>
  </si>
  <si>
    <t>Image editing + compositing (per image)</t>
  </si>
  <si>
    <t>Number of images assumed for edit/compositing:</t>
  </si>
  <si>
    <t>Infographic for webpage</t>
  </si>
  <si>
    <t>DELIVERY</t>
  </si>
  <si>
    <t>Handoff</t>
  </si>
  <si>
    <t>Design-dev handoff walkthrough</t>
  </si>
  <si>
    <t>Design QA round (per page)</t>
  </si>
  <si>
    <t>Number of pages needing design QA:</t>
  </si>
  <si>
    <t>Dev</t>
  </si>
  <si>
    <t>Foundation</t>
  </si>
  <si>
    <t>Webflow project setup + environments</t>
  </si>
  <si>
    <t>Domain + DNS coordination (staging)</t>
  </si>
  <si>
    <t>Global style guide build (classes, variables)</t>
  </si>
  <si>
    <t>Component naming + structure conventions</t>
  </si>
  <si>
    <t>Accessibility baseline (focus states, semantics)</t>
  </si>
  <si>
    <t>Analytics baseline (GTM container embed)</t>
  </si>
  <si>
    <t>Components</t>
  </si>
  <si>
    <t>Header – simple nav</t>
  </si>
  <si>
    <t>Header – mega menu</t>
  </si>
  <si>
    <t>Mobile nav overlay</t>
  </si>
  <si>
    <t>Footer – basic</t>
  </si>
  <si>
    <t>Footer – complex (multi-column + CTAs)</t>
  </si>
  <si>
    <t>Announcement bar</t>
  </si>
  <si>
    <t>Hero – standard</t>
  </si>
  <si>
    <t>Hero – with tabs/slider</t>
  </si>
  <si>
    <t>Logos strip</t>
  </si>
  <si>
    <t>Feature grid (2–4 columns)</t>
  </si>
  <si>
    <t>Feature list (icon + text)</t>
  </si>
  <si>
    <t>Stats counters</t>
  </si>
  <si>
    <t>Testimonial slider</t>
  </si>
  <si>
    <t>Case study teaser card</t>
  </si>
  <si>
    <t>Pricing table (responsive)</t>
  </si>
  <si>
    <t>FAQ accordion</t>
  </si>
  <si>
    <t>CTA banner</t>
  </si>
  <si>
    <t>Modal component</t>
  </si>
  <si>
    <t>Form component – contact/demo</t>
  </si>
  <si>
    <t>Tabs component</t>
  </si>
  <si>
    <t>Table component – responsive</t>
  </si>
  <si>
    <t>Video embed component</t>
  </si>
  <si>
    <t>Timeline component</t>
  </si>
  <si>
    <t>Comparison component</t>
  </si>
  <si>
    <t>Breadcrumbs</t>
  </si>
  <si>
    <t>Pages</t>
  </si>
  <si>
    <t>Homepage build</t>
  </si>
  <si>
    <t>Pillar / solution page build</t>
  </si>
  <si>
    <t>Use case page build</t>
  </si>
  <si>
    <t>Industry page build</t>
  </si>
  <si>
    <t>Product overview page build</t>
  </si>
  <si>
    <t>Product detail page build</t>
  </si>
  <si>
    <t>Integrations listing page build</t>
  </si>
  <si>
    <t>Integration detail template build</t>
  </si>
  <si>
    <t>Resource hub build</t>
  </si>
  <si>
    <t>Blog listing template build</t>
  </si>
  <si>
    <t>Blog article template build</t>
  </si>
  <si>
    <t>Case study CMS template build</t>
  </si>
  <si>
    <t>About page build</t>
  </si>
  <si>
    <t>Contact/Demo page build</t>
  </si>
  <si>
    <t>Pricing page build</t>
  </si>
  <si>
    <t>Security/Compliance page build</t>
  </si>
  <si>
    <t>Careers listing build</t>
  </si>
  <si>
    <t>Job detail template build</t>
  </si>
  <si>
    <t>Legal template build</t>
  </si>
  <si>
    <t>404 page build</t>
  </si>
  <si>
    <t>CMS</t>
  </si>
  <si>
    <t>CMS architecture planning + mapping</t>
  </si>
  <si>
    <t>Create CMS collection (per collection)</t>
  </si>
  <si>
    <t>Number of CMS collections:</t>
  </si>
  <si>
    <t>CMS field mapping (per collection)</t>
  </si>
  <si>
    <t>Build CMS template (per template)</t>
  </si>
  <si>
    <t>Number of CMS templates:</t>
  </si>
  <si>
    <t>CMS filters/search (basic)</t>
  </si>
  <si>
    <t>CMS pagination (native)</t>
  </si>
  <si>
    <t>Migration</t>
  </si>
  <si>
    <t>Content migration planning + export</t>
  </si>
  <si>
    <t>Content migration (per 10 pages)</t>
  </si>
  <si>
    <t>Batches of 10 pages:</t>
  </si>
  <si>
    <t>Content migration QA (per 10 pages)</t>
  </si>
  <si>
    <t>301 redirect mapping (per 50 URLs)</t>
  </si>
  <si>
    <t>Batches of 50 URLs:</t>
  </si>
  <si>
    <t>Redirect implementation + validation</t>
  </si>
  <si>
    <t>Animations</t>
  </si>
  <si>
    <t>Webflow interactions (simple per page)</t>
  </si>
  <si>
    <t>Number of webflow interactions per page (simple):</t>
  </si>
  <si>
    <t>Webflow interactions (complex per page)</t>
  </si>
  <si>
    <t>Number of webflow interactions per page (complex):</t>
  </si>
  <si>
    <t>Custom JS interaction (per feature)</t>
  </si>
  <si>
    <t>Number of custom JS interaction features:</t>
  </si>
  <si>
    <t>Lottie integration (per animation)</t>
  </si>
  <si>
    <t>Number of Lottie integations per animation:</t>
  </si>
  <si>
    <t>Integrations</t>
  </si>
  <si>
    <t>GA4 + GTM setup + verification</t>
  </si>
  <si>
    <t>Conversion events setup (per event)</t>
  </si>
  <si>
    <t>Number of conversion events:</t>
  </si>
  <si>
    <t>HubSpot forms embed (per form)</t>
  </si>
  <si>
    <t>Number of Hubspot form embeds:</t>
  </si>
  <si>
    <t>Marketo form embed (per form)</t>
  </si>
  <si>
    <t>Number of Marketo form embeds:</t>
  </si>
  <si>
    <t>Calendly / scheduling embed</t>
  </si>
  <si>
    <t>Cookie consent banner + tagging rules</t>
  </si>
  <si>
    <t>Search Console verification + sitemap submit</t>
  </si>
  <si>
    <t>Bing Webmaster Tools setup</t>
  </si>
  <si>
    <t>Hotjar / MS Clarity install</t>
  </si>
  <si>
    <t>QA</t>
  </si>
  <si>
    <t>Responsive QA (mobile/tablet)</t>
  </si>
  <si>
    <t>Accessibility QA pass (WCAG basics)</t>
  </si>
  <si>
    <t>Content QA + link check</t>
  </si>
  <si>
    <t>Pre-launch checklist + stakeholder signoff</t>
  </si>
  <si>
    <t>LAUNCH</t>
  </si>
  <si>
    <t>Launch</t>
  </si>
  <si>
    <t>Launch support window</t>
  </si>
  <si>
    <t>Post-launch monitoring (24–48h)</t>
  </si>
  <si>
    <t>Backend</t>
  </si>
  <si>
    <t>CRM sync (HubSpot/Salesforce) – custom</t>
  </si>
  <si>
    <t>Growth</t>
  </si>
  <si>
    <t>WAIO</t>
  </si>
  <si>
    <t>WAIO framework workshop + requirements</t>
  </si>
  <si>
    <t>WAIO implementation plan + backlog</t>
  </si>
  <si>
    <t>WAIO template recommendations (per template)</t>
  </si>
  <si>
    <t>PROPOSAL APPENDIX: Agreed project scope</t>
  </si>
  <si>
    <t>Use this column to filter for YES once scope is agreed, then copy and paste columns A to F to proposal appendix</t>
  </si>
  <si>
    <t>EFFORT (hours)</t>
  </si>
  <si>
    <t>COMMERCIALS ($)</t>
  </si>
  <si>
    <t>Total effort scoped for deliverables per phase (hours)</t>
  </si>
  <si>
    <t>20% allowance for PM/AM (hours)</t>
  </si>
  <si>
    <t>Total effort (hours)</t>
  </si>
  <si>
    <t>Minimum charge rate ($)</t>
  </si>
  <si>
    <t>Minimum cost per phase ($)</t>
  </si>
  <si>
    <t>Growth lead commercial adjustment ($)</t>
  </si>
  <si>
    <t>Cost to quote to client ($)</t>
  </si>
  <si>
    <t>PROJECT TOTAL</t>
  </si>
  <si>
    <t>Growth lead can apply discount or increase in the yellow cells to achieve target cost to quote to client.</t>
  </si>
  <si>
    <t>TO DO: Build out GM% calcs here to get better insight into target/guardrail profitability per project</t>
  </si>
  <si>
    <t>TO DO: Think about how localisation needs incorporating into Standard Estimator - SALES. Lendo project learning.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</si>
</sst>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"/>
    <numFmt numFmtId="165" formatCode="&quot;$&quot;#,##0"/>
  </numFmts>
  <fonts count="11">
    <font>
      <sz val="11.0"/>
      <color theme="1"/>
      <name val="Calibri"/>
      <scheme val="minor"/>
    </font>
    <font>
      <b/>
      <color rgb="FFFFFFFF"/>
      <name val="Calibri"/>
    </font>
    <font>
      <b/>
      <sz val="15.0"/>
      <color rgb="FFFF9900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5.0"/>
      <color theme="1"/>
      <name val="Calibri"/>
      <scheme val="minor"/>
    </font>
    <font>
      <b/>
      <sz val="15.0"/>
      <color rgb="FFFFFFFF"/>
      <name val="Calibri"/>
      <scheme val="minor"/>
    </font>
    <font>
      <sz val="12.0"/>
      <color theme="1"/>
      <name val="Calibri"/>
      <scheme val="minor"/>
    </font>
    <font>
      <b/>
      <sz val="12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right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center"/>
    </xf>
    <xf borderId="0" fillId="0" fontId="4" numFmtId="9" xfId="0" applyAlignment="1" applyFont="1" applyNumberFormat="1">
      <alignment readingOrder="0"/>
    </xf>
    <xf borderId="0" fillId="0" fontId="4" numFmtId="164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2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righ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0" fillId="0" fontId="7" numFmtId="0" xfId="0" applyAlignment="1" applyFont="1">
      <alignment vertical="bottom"/>
    </xf>
    <xf borderId="0" fillId="3" fontId="8" numFmtId="0" xfId="0" applyAlignment="1" applyFill="1" applyFont="1">
      <alignment readingOrder="0" vertical="bottom"/>
    </xf>
    <xf borderId="0" fillId="0" fontId="9" numFmtId="0" xfId="0" applyAlignment="1" applyFont="1">
      <alignment vertical="bottom"/>
    </xf>
    <xf borderId="0" fillId="3" fontId="10" numFmtId="0" xfId="0" applyAlignment="1" applyFont="1">
      <alignment shrinkToFit="0" vertical="bottom" wrapText="1"/>
    </xf>
    <xf borderId="0" fillId="3" fontId="10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vertical="bottom"/>
    </xf>
    <xf borderId="0" fillId="4" fontId="9" numFmtId="165" xfId="0" applyAlignment="1" applyFill="1" applyFont="1" applyNumberFormat="1">
      <alignment readingOrder="0" vertical="bottom"/>
    </xf>
    <xf borderId="3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vertical="bottom"/>
    </xf>
    <xf borderId="3" fillId="0" fontId="9" numFmtId="165" xfId="0" applyAlignment="1" applyBorder="1" applyFont="1" applyNumberFormat="1">
      <alignment vertical="bottom"/>
    </xf>
    <xf borderId="0" fillId="0" fontId="9" numFmtId="0" xfId="0" applyFont="1"/>
  </cellXfs>
  <cellStyles count="1">
    <cellStyle xfId="0" name="Normal" builtinId="0"/>
  </cellStyles>
  <dxfs count="3">
    <dxf>
      <font/>
      <fill>
        <patternFill patternType="solid">
          <fgColor rgb="FFB7B7B7"/>
          <bgColor rgb="FFB7B7B7"/>
        </patternFill>
      </fill>
      <border/>
    </dxf>
    <dxf>
      <font>
        <color rgb="FF999999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43"/>
    <col customWidth="1" min="2" max="2" width="12.0"/>
    <col customWidth="1" min="3" max="3" width="16.86"/>
    <col customWidth="1" min="4" max="4" width="52.0"/>
    <col customWidth="1" min="5" max="5" width="13.71"/>
    <col customWidth="1" hidden="1" min="6" max="6" width="20.0"/>
    <col customWidth="1" min="7" max="7" width="52.43"/>
    <col customWidth="1" min="8" max="8" width="20.0"/>
    <col customWidth="1" hidden="1" min="9" max="9" width="13.0"/>
    <col customWidth="1" min="10" max="10" width="11.0"/>
    <col customWidth="1" min="11" max="11" width="10.71"/>
    <col customWidth="1" min="12" max="14" width="11.0"/>
    <col customWidth="1" min="15" max="15" width="20.0"/>
    <col customWidth="1" min="16" max="16" width="14.0"/>
    <col customWidth="1" min="17" max="17" width="36.0"/>
    <col customWidth="1" min="18" max="33" width="8.71"/>
  </cols>
  <sheetData>
    <row r="1" ht="32.25" customHeight="1">
      <c r="A1" s="1"/>
      <c r="B1" s="1"/>
      <c r="C1" s="1"/>
      <c r="D1" s="1"/>
      <c r="E1" s="2" t="s">
        <v>0</v>
      </c>
      <c r="F1" s="2"/>
      <c r="G1" s="2" t="s">
        <v>1</v>
      </c>
      <c r="H1" s="3"/>
      <c r="I1" s="3"/>
      <c r="J1" s="3"/>
      <c r="K1" s="3"/>
      <c r="L1" s="3"/>
      <c r="M1" s="3"/>
      <c r="N1" s="3"/>
      <c r="O1" s="3"/>
      <c r="P1" s="3"/>
      <c r="Q1" s="2" t="s">
        <v>2</v>
      </c>
    </row>
    <row r="2" ht="30.75" customHeight="1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6" t="s">
        <v>8</v>
      </c>
      <c r="G2" s="7"/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6" t="s">
        <v>18</v>
      </c>
    </row>
    <row r="3">
      <c r="A3" s="8" t="s">
        <v>19</v>
      </c>
      <c r="B3" s="9" t="s">
        <v>20</v>
      </c>
      <c r="C3" s="9" t="s">
        <v>21</v>
      </c>
      <c r="D3" s="9" t="s">
        <v>22</v>
      </c>
      <c r="E3" s="10" t="s">
        <v>23</v>
      </c>
      <c r="F3" s="8" t="s">
        <v>24</v>
      </c>
      <c r="G3" s="11"/>
      <c r="H3" s="8">
        <v>10.0</v>
      </c>
      <c r="I3" s="8">
        <f t="shared" ref="I3:I147" si="1">if(F3="FIXED", 1, "")</f>
        <v>1</v>
      </c>
      <c r="J3" s="9">
        <f t="shared" ref="J3:J147" si="2">if((E3="YES"), (if(F3="FIXED", I3, H3)), 0)</f>
        <v>0</v>
      </c>
      <c r="K3" s="9">
        <v>3.0</v>
      </c>
      <c r="L3" s="12">
        <f t="shared" ref="L3:L147" si="3">J3*K3</f>
        <v>0</v>
      </c>
      <c r="M3" s="12">
        <v>40.0</v>
      </c>
      <c r="N3" s="13">
        <v>0.2</v>
      </c>
      <c r="O3" s="14">
        <f t="shared" ref="O3:O147" si="4">IFERROR(J3*K3*M3*(1+N3),0)</f>
        <v>0</v>
      </c>
      <c r="P3" s="14">
        <f t="shared" ref="P3:P147" si="5">O3*2</f>
        <v>0</v>
      </c>
    </row>
    <row r="4">
      <c r="A4" s="8" t="s">
        <v>19</v>
      </c>
      <c r="B4" s="9" t="s">
        <v>20</v>
      </c>
      <c r="C4" s="9" t="s">
        <v>21</v>
      </c>
      <c r="D4" s="9" t="s">
        <v>25</v>
      </c>
      <c r="E4" s="10" t="s">
        <v>23</v>
      </c>
      <c r="F4" s="8" t="s">
        <v>26</v>
      </c>
      <c r="G4" s="11" t="s">
        <v>27</v>
      </c>
      <c r="H4" s="8">
        <v>2.0</v>
      </c>
      <c r="I4" s="8" t="str">
        <f t="shared" si="1"/>
        <v/>
      </c>
      <c r="J4" s="9">
        <f t="shared" si="2"/>
        <v>0</v>
      </c>
      <c r="K4" s="9">
        <v>0.75</v>
      </c>
      <c r="L4" s="12">
        <f t="shared" si="3"/>
        <v>0</v>
      </c>
      <c r="M4" s="12">
        <v>40.0</v>
      </c>
      <c r="N4" s="13">
        <v>0.2</v>
      </c>
      <c r="O4" s="14">
        <f t="shared" si="4"/>
        <v>0</v>
      </c>
      <c r="P4" s="14">
        <f t="shared" si="5"/>
        <v>0</v>
      </c>
    </row>
    <row r="5">
      <c r="A5" s="8" t="s">
        <v>19</v>
      </c>
      <c r="B5" s="9" t="s">
        <v>20</v>
      </c>
      <c r="C5" s="9" t="s">
        <v>21</v>
      </c>
      <c r="D5" s="9" t="s">
        <v>28</v>
      </c>
      <c r="E5" s="10" t="s">
        <v>23</v>
      </c>
      <c r="F5" s="8" t="s">
        <v>24</v>
      </c>
      <c r="G5" s="11"/>
      <c r="H5" s="8"/>
      <c r="I5" s="8">
        <f t="shared" si="1"/>
        <v>1</v>
      </c>
      <c r="J5" s="9">
        <f t="shared" si="2"/>
        <v>0</v>
      </c>
      <c r="K5" s="9">
        <v>2.0</v>
      </c>
      <c r="L5" s="12">
        <f t="shared" si="3"/>
        <v>0</v>
      </c>
      <c r="M5" s="12">
        <v>40.0</v>
      </c>
      <c r="N5" s="13">
        <v>0.2</v>
      </c>
      <c r="O5" s="14">
        <f t="shared" si="4"/>
        <v>0</v>
      </c>
      <c r="P5" s="14">
        <f t="shared" si="5"/>
        <v>0</v>
      </c>
    </row>
    <row r="6">
      <c r="A6" s="8" t="s">
        <v>19</v>
      </c>
      <c r="B6" s="9" t="s">
        <v>20</v>
      </c>
      <c r="C6" s="9" t="s">
        <v>29</v>
      </c>
      <c r="D6" s="9" t="s">
        <v>30</v>
      </c>
      <c r="E6" s="10" t="s">
        <v>23</v>
      </c>
      <c r="F6" s="8" t="s">
        <v>24</v>
      </c>
      <c r="G6" s="11"/>
      <c r="H6" s="8"/>
      <c r="I6" s="8">
        <f t="shared" si="1"/>
        <v>1</v>
      </c>
      <c r="J6" s="9">
        <f t="shared" si="2"/>
        <v>0</v>
      </c>
      <c r="K6" s="9">
        <v>3.0</v>
      </c>
      <c r="L6" s="12">
        <f t="shared" si="3"/>
        <v>0</v>
      </c>
      <c r="M6" s="12">
        <v>40.0</v>
      </c>
      <c r="N6" s="13">
        <v>0.2</v>
      </c>
      <c r="O6" s="14">
        <f t="shared" si="4"/>
        <v>0</v>
      </c>
      <c r="P6" s="14">
        <f t="shared" si="5"/>
        <v>0</v>
      </c>
    </row>
    <row r="7">
      <c r="A7" s="8" t="s">
        <v>31</v>
      </c>
      <c r="B7" s="9" t="s">
        <v>20</v>
      </c>
      <c r="C7" s="9" t="s">
        <v>29</v>
      </c>
      <c r="D7" s="9" t="s">
        <v>32</v>
      </c>
      <c r="E7" s="10" t="s">
        <v>23</v>
      </c>
      <c r="F7" s="8" t="s">
        <v>24</v>
      </c>
      <c r="G7" s="11"/>
      <c r="H7" s="8"/>
      <c r="I7" s="8">
        <f t="shared" si="1"/>
        <v>1</v>
      </c>
      <c r="J7" s="9">
        <f t="shared" si="2"/>
        <v>0</v>
      </c>
      <c r="K7" s="9">
        <v>6.0</v>
      </c>
      <c r="L7" s="12">
        <f t="shared" si="3"/>
        <v>0</v>
      </c>
      <c r="M7" s="12">
        <v>40.0</v>
      </c>
      <c r="N7" s="13">
        <v>0.2</v>
      </c>
      <c r="O7" s="14">
        <f t="shared" si="4"/>
        <v>0</v>
      </c>
      <c r="P7" s="14">
        <f t="shared" si="5"/>
        <v>0</v>
      </c>
    </row>
    <row r="8">
      <c r="A8" s="8" t="s">
        <v>31</v>
      </c>
      <c r="B8" s="9" t="s">
        <v>20</v>
      </c>
      <c r="C8" s="9" t="s">
        <v>29</v>
      </c>
      <c r="D8" s="9" t="s">
        <v>33</v>
      </c>
      <c r="E8" s="10" t="s">
        <v>23</v>
      </c>
      <c r="F8" s="8" t="s">
        <v>24</v>
      </c>
      <c r="G8" s="11"/>
      <c r="H8" s="8"/>
      <c r="I8" s="8">
        <f t="shared" si="1"/>
        <v>1</v>
      </c>
      <c r="J8" s="9">
        <f t="shared" si="2"/>
        <v>0</v>
      </c>
      <c r="K8" s="9">
        <v>12.0</v>
      </c>
      <c r="L8" s="12">
        <f t="shared" si="3"/>
        <v>0</v>
      </c>
      <c r="M8" s="12">
        <v>40.0</v>
      </c>
      <c r="N8" s="13">
        <v>0.2</v>
      </c>
      <c r="O8" s="14">
        <f t="shared" si="4"/>
        <v>0</v>
      </c>
      <c r="P8" s="14">
        <f t="shared" si="5"/>
        <v>0</v>
      </c>
    </row>
    <row r="9">
      <c r="A9" s="8" t="s">
        <v>31</v>
      </c>
      <c r="B9" s="9" t="s">
        <v>20</v>
      </c>
      <c r="C9" s="9" t="s">
        <v>29</v>
      </c>
      <c r="D9" s="9" t="s">
        <v>34</v>
      </c>
      <c r="E9" s="10" t="s">
        <v>23</v>
      </c>
      <c r="F9" s="8" t="s">
        <v>24</v>
      </c>
      <c r="G9" s="11"/>
      <c r="H9" s="8"/>
      <c r="I9" s="8">
        <f t="shared" si="1"/>
        <v>1</v>
      </c>
      <c r="J9" s="9">
        <f t="shared" si="2"/>
        <v>0</v>
      </c>
      <c r="K9" s="9">
        <v>2.0</v>
      </c>
      <c r="L9" s="12">
        <f t="shared" si="3"/>
        <v>0</v>
      </c>
      <c r="M9" s="12">
        <v>40.0</v>
      </c>
      <c r="N9" s="13">
        <v>0.2</v>
      </c>
      <c r="O9" s="14">
        <f t="shared" si="4"/>
        <v>0</v>
      </c>
      <c r="P9" s="14">
        <f t="shared" si="5"/>
        <v>0</v>
      </c>
    </row>
    <row r="10">
      <c r="A10" s="8" t="s">
        <v>31</v>
      </c>
      <c r="B10" s="9" t="s">
        <v>20</v>
      </c>
      <c r="C10" s="9" t="s">
        <v>29</v>
      </c>
      <c r="D10" s="9" t="s">
        <v>35</v>
      </c>
      <c r="E10" s="10" t="s">
        <v>23</v>
      </c>
      <c r="F10" s="8" t="s">
        <v>24</v>
      </c>
      <c r="G10" s="11"/>
      <c r="H10" s="8"/>
      <c r="I10" s="8">
        <f t="shared" si="1"/>
        <v>1</v>
      </c>
      <c r="J10" s="9">
        <f t="shared" si="2"/>
        <v>0</v>
      </c>
      <c r="K10" s="9">
        <v>2.0</v>
      </c>
      <c r="L10" s="12">
        <f t="shared" si="3"/>
        <v>0</v>
      </c>
      <c r="M10" s="12">
        <v>40.0</v>
      </c>
      <c r="N10" s="13">
        <v>0.2</v>
      </c>
      <c r="O10" s="14">
        <f t="shared" si="4"/>
        <v>0</v>
      </c>
      <c r="P10" s="14">
        <f t="shared" si="5"/>
        <v>0</v>
      </c>
    </row>
    <row r="11">
      <c r="A11" s="8" t="s">
        <v>31</v>
      </c>
      <c r="B11" s="9" t="s">
        <v>20</v>
      </c>
      <c r="C11" s="9" t="s">
        <v>29</v>
      </c>
      <c r="D11" s="9" t="s">
        <v>36</v>
      </c>
      <c r="E11" s="10" t="s">
        <v>23</v>
      </c>
      <c r="F11" s="8" t="s">
        <v>24</v>
      </c>
      <c r="G11" s="11"/>
      <c r="H11" s="8"/>
      <c r="I11" s="8">
        <f t="shared" si="1"/>
        <v>1</v>
      </c>
      <c r="J11" s="9">
        <f t="shared" si="2"/>
        <v>0</v>
      </c>
      <c r="K11" s="9">
        <v>4.0</v>
      </c>
      <c r="L11" s="12">
        <f t="shared" si="3"/>
        <v>0</v>
      </c>
      <c r="M11" s="12">
        <v>40.0</v>
      </c>
      <c r="N11" s="13">
        <v>0.2</v>
      </c>
      <c r="O11" s="14">
        <f t="shared" si="4"/>
        <v>0</v>
      </c>
      <c r="P11" s="14">
        <f t="shared" si="5"/>
        <v>0</v>
      </c>
    </row>
    <row r="12">
      <c r="A12" s="8" t="s">
        <v>31</v>
      </c>
      <c r="B12" s="9" t="s">
        <v>20</v>
      </c>
      <c r="C12" s="9" t="s">
        <v>29</v>
      </c>
      <c r="D12" s="9" t="s">
        <v>37</v>
      </c>
      <c r="E12" s="10" t="s">
        <v>23</v>
      </c>
      <c r="F12" s="8" t="s">
        <v>24</v>
      </c>
      <c r="G12" s="11"/>
      <c r="H12" s="8"/>
      <c r="I12" s="8">
        <f t="shared" si="1"/>
        <v>1</v>
      </c>
      <c r="J12" s="9">
        <f t="shared" si="2"/>
        <v>0</v>
      </c>
      <c r="K12" s="9">
        <v>3.0</v>
      </c>
      <c r="L12" s="12">
        <f t="shared" si="3"/>
        <v>0</v>
      </c>
      <c r="M12" s="12">
        <v>40.0</v>
      </c>
      <c r="N12" s="13">
        <v>0.2</v>
      </c>
      <c r="O12" s="14">
        <f t="shared" si="4"/>
        <v>0</v>
      </c>
      <c r="P12" s="14">
        <f t="shared" si="5"/>
        <v>0</v>
      </c>
    </row>
    <row r="13">
      <c r="A13" s="8" t="s">
        <v>31</v>
      </c>
      <c r="B13" s="9" t="s">
        <v>20</v>
      </c>
      <c r="C13" s="9" t="s">
        <v>29</v>
      </c>
      <c r="D13" s="9" t="s">
        <v>38</v>
      </c>
      <c r="E13" s="10" t="s">
        <v>23</v>
      </c>
      <c r="F13" s="8" t="s">
        <v>24</v>
      </c>
      <c r="G13" s="11"/>
      <c r="H13" s="8"/>
      <c r="I13" s="8">
        <f t="shared" si="1"/>
        <v>1</v>
      </c>
      <c r="J13" s="9">
        <f t="shared" si="2"/>
        <v>0</v>
      </c>
      <c r="K13" s="9">
        <v>8.0</v>
      </c>
      <c r="L13" s="12">
        <f t="shared" si="3"/>
        <v>0</v>
      </c>
      <c r="M13" s="12">
        <v>40.0</v>
      </c>
      <c r="N13" s="13">
        <v>0.2</v>
      </c>
      <c r="O13" s="14">
        <f t="shared" si="4"/>
        <v>0</v>
      </c>
      <c r="P13" s="14">
        <f t="shared" si="5"/>
        <v>0</v>
      </c>
    </row>
    <row r="14">
      <c r="A14" s="8" t="s">
        <v>19</v>
      </c>
      <c r="B14" s="9" t="s">
        <v>20</v>
      </c>
      <c r="C14" s="9" t="s">
        <v>39</v>
      </c>
      <c r="D14" s="9" t="s">
        <v>40</v>
      </c>
      <c r="E14" s="10" t="s">
        <v>23</v>
      </c>
      <c r="F14" s="8" t="s">
        <v>24</v>
      </c>
      <c r="G14" s="11"/>
      <c r="H14" s="8"/>
      <c r="I14" s="8">
        <f t="shared" si="1"/>
        <v>1</v>
      </c>
      <c r="J14" s="9">
        <f t="shared" si="2"/>
        <v>0</v>
      </c>
      <c r="K14" s="9">
        <v>4.0</v>
      </c>
      <c r="L14" s="12">
        <f t="shared" si="3"/>
        <v>0</v>
      </c>
      <c r="M14" s="12">
        <v>40.0</v>
      </c>
      <c r="N14" s="13">
        <v>0.2</v>
      </c>
      <c r="O14" s="14">
        <f t="shared" si="4"/>
        <v>0</v>
      </c>
      <c r="P14" s="14">
        <f t="shared" si="5"/>
        <v>0</v>
      </c>
    </row>
    <row r="15">
      <c r="A15" s="8" t="s">
        <v>19</v>
      </c>
      <c r="B15" s="9" t="s">
        <v>20</v>
      </c>
      <c r="C15" s="9" t="s">
        <v>39</v>
      </c>
      <c r="D15" s="9" t="s">
        <v>41</v>
      </c>
      <c r="E15" s="10" t="s">
        <v>23</v>
      </c>
      <c r="F15" s="8" t="s">
        <v>24</v>
      </c>
      <c r="G15" s="11"/>
      <c r="H15" s="8"/>
      <c r="I15" s="8">
        <f t="shared" si="1"/>
        <v>1</v>
      </c>
      <c r="J15" s="9">
        <f t="shared" si="2"/>
        <v>0</v>
      </c>
      <c r="K15" s="9">
        <v>4.0</v>
      </c>
      <c r="L15" s="12">
        <f t="shared" si="3"/>
        <v>0</v>
      </c>
      <c r="M15" s="12">
        <v>40.0</v>
      </c>
      <c r="N15" s="13">
        <v>0.2</v>
      </c>
      <c r="O15" s="14">
        <f t="shared" si="4"/>
        <v>0</v>
      </c>
      <c r="P15" s="14">
        <f t="shared" si="5"/>
        <v>0</v>
      </c>
      <c r="R15" s="15" t="s">
        <v>23</v>
      </c>
    </row>
    <row r="16">
      <c r="A16" s="8" t="s">
        <v>19</v>
      </c>
      <c r="B16" s="9" t="s">
        <v>20</v>
      </c>
      <c r="C16" s="9" t="s">
        <v>39</v>
      </c>
      <c r="D16" s="9" t="s">
        <v>42</v>
      </c>
      <c r="E16" s="10" t="s">
        <v>23</v>
      </c>
      <c r="F16" s="8" t="s">
        <v>26</v>
      </c>
      <c r="G16" s="11" t="s">
        <v>43</v>
      </c>
      <c r="H16" s="8">
        <v>10.0</v>
      </c>
      <c r="I16" s="8" t="str">
        <f t="shared" si="1"/>
        <v/>
      </c>
      <c r="J16" s="9">
        <f t="shared" si="2"/>
        <v>0</v>
      </c>
      <c r="K16" s="9">
        <v>2.5</v>
      </c>
      <c r="L16" s="12">
        <f t="shared" si="3"/>
        <v>0</v>
      </c>
      <c r="M16" s="12">
        <v>40.0</v>
      </c>
      <c r="N16" s="13">
        <v>0.2</v>
      </c>
      <c r="O16" s="14">
        <f t="shared" si="4"/>
        <v>0</v>
      </c>
      <c r="P16" s="14">
        <f t="shared" si="5"/>
        <v>0</v>
      </c>
    </row>
    <row r="17">
      <c r="A17" s="8" t="s">
        <v>19</v>
      </c>
      <c r="B17" s="9" t="s">
        <v>20</v>
      </c>
      <c r="C17" s="9" t="s">
        <v>39</v>
      </c>
      <c r="D17" s="9" t="s">
        <v>44</v>
      </c>
      <c r="E17" s="10" t="s">
        <v>23</v>
      </c>
      <c r="F17" s="8" t="s">
        <v>24</v>
      </c>
      <c r="G17" s="11"/>
      <c r="H17" s="8"/>
      <c r="I17" s="8">
        <f t="shared" si="1"/>
        <v>1</v>
      </c>
      <c r="J17" s="9">
        <f t="shared" si="2"/>
        <v>0</v>
      </c>
      <c r="K17" s="9">
        <v>1.5</v>
      </c>
      <c r="L17" s="12">
        <f t="shared" si="3"/>
        <v>0</v>
      </c>
      <c r="M17" s="12">
        <v>40.0</v>
      </c>
      <c r="N17" s="13">
        <v>0.2</v>
      </c>
      <c r="O17" s="14">
        <f t="shared" si="4"/>
        <v>0</v>
      </c>
      <c r="P17" s="14">
        <f t="shared" si="5"/>
        <v>0</v>
      </c>
    </row>
    <row r="18">
      <c r="A18" s="8" t="s">
        <v>19</v>
      </c>
      <c r="B18" s="9" t="s">
        <v>20</v>
      </c>
      <c r="C18" s="9" t="s">
        <v>39</v>
      </c>
      <c r="D18" s="9" t="s">
        <v>45</v>
      </c>
      <c r="E18" s="10" t="s">
        <v>23</v>
      </c>
      <c r="F18" s="8" t="s">
        <v>24</v>
      </c>
      <c r="G18" s="11"/>
      <c r="H18" s="8"/>
      <c r="I18" s="8">
        <f t="shared" si="1"/>
        <v>1</v>
      </c>
      <c r="J18" s="9">
        <f t="shared" si="2"/>
        <v>0</v>
      </c>
      <c r="K18" s="9">
        <v>2.0</v>
      </c>
      <c r="L18" s="12">
        <f t="shared" si="3"/>
        <v>0</v>
      </c>
      <c r="M18" s="12">
        <v>40.0</v>
      </c>
      <c r="N18" s="13">
        <v>0.2</v>
      </c>
      <c r="O18" s="14">
        <f t="shared" si="4"/>
        <v>0</v>
      </c>
      <c r="P18" s="14">
        <f t="shared" si="5"/>
        <v>0</v>
      </c>
    </row>
    <row r="19">
      <c r="A19" s="8" t="s">
        <v>31</v>
      </c>
      <c r="B19" s="9" t="s">
        <v>20</v>
      </c>
      <c r="C19" s="9" t="s">
        <v>46</v>
      </c>
      <c r="D19" s="9" t="s">
        <v>47</v>
      </c>
      <c r="E19" s="10" t="s">
        <v>23</v>
      </c>
      <c r="F19" s="8" t="s">
        <v>24</v>
      </c>
      <c r="G19" s="11"/>
      <c r="H19" s="8"/>
      <c r="I19" s="8">
        <f t="shared" si="1"/>
        <v>1</v>
      </c>
      <c r="J19" s="9">
        <f t="shared" si="2"/>
        <v>0</v>
      </c>
      <c r="K19" s="9">
        <v>1.0</v>
      </c>
      <c r="L19" s="12">
        <f t="shared" si="3"/>
        <v>0</v>
      </c>
      <c r="M19" s="12">
        <v>40.0</v>
      </c>
      <c r="N19" s="13">
        <v>0.2</v>
      </c>
      <c r="O19" s="14">
        <f t="shared" si="4"/>
        <v>0</v>
      </c>
      <c r="P19" s="14">
        <f t="shared" si="5"/>
        <v>0</v>
      </c>
    </row>
    <row r="20">
      <c r="A20" s="8" t="s">
        <v>31</v>
      </c>
      <c r="B20" s="9" t="s">
        <v>20</v>
      </c>
      <c r="C20" s="9" t="s">
        <v>46</v>
      </c>
      <c r="D20" s="9" t="s">
        <v>48</v>
      </c>
      <c r="E20" s="10" t="s">
        <v>23</v>
      </c>
      <c r="F20" s="8" t="s">
        <v>24</v>
      </c>
      <c r="G20" s="11"/>
      <c r="H20" s="8"/>
      <c r="I20" s="8">
        <f t="shared" si="1"/>
        <v>1</v>
      </c>
      <c r="J20" s="9">
        <f t="shared" si="2"/>
        <v>0</v>
      </c>
      <c r="K20" s="9">
        <v>1.5</v>
      </c>
      <c r="L20" s="12">
        <f t="shared" si="3"/>
        <v>0</v>
      </c>
      <c r="M20" s="12">
        <v>40.0</v>
      </c>
      <c r="N20" s="13">
        <v>0.2</v>
      </c>
      <c r="O20" s="14">
        <f t="shared" si="4"/>
        <v>0</v>
      </c>
      <c r="P20" s="14">
        <f t="shared" si="5"/>
        <v>0</v>
      </c>
    </row>
    <row r="21">
      <c r="A21" s="8" t="s">
        <v>31</v>
      </c>
      <c r="B21" s="9" t="s">
        <v>20</v>
      </c>
      <c r="C21" s="9" t="s">
        <v>46</v>
      </c>
      <c r="D21" s="9" t="s">
        <v>49</v>
      </c>
      <c r="E21" s="10" t="s">
        <v>23</v>
      </c>
      <c r="F21" s="8" t="s">
        <v>24</v>
      </c>
      <c r="G21" s="11"/>
      <c r="H21" s="8"/>
      <c r="I21" s="8">
        <f t="shared" si="1"/>
        <v>1</v>
      </c>
      <c r="J21" s="9">
        <f t="shared" si="2"/>
        <v>0</v>
      </c>
      <c r="K21" s="9">
        <v>1.5</v>
      </c>
      <c r="L21" s="12">
        <f t="shared" si="3"/>
        <v>0</v>
      </c>
      <c r="M21" s="12">
        <v>40.0</v>
      </c>
      <c r="N21" s="13">
        <v>0.2</v>
      </c>
      <c r="O21" s="14">
        <f t="shared" si="4"/>
        <v>0</v>
      </c>
      <c r="P21" s="14">
        <f t="shared" si="5"/>
        <v>0</v>
      </c>
    </row>
    <row r="22" ht="15.75" customHeight="1">
      <c r="A22" s="8" t="s">
        <v>31</v>
      </c>
      <c r="B22" s="9" t="s">
        <v>20</v>
      </c>
      <c r="C22" s="9" t="s">
        <v>46</v>
      </c>
      <c r="D22" s="9" t="s">
        <v>50</v>
      </c>
      <c r="E22" s="10" t="s">
        <v>23</v>
      </c>
      <c r="F22" s="8" t="s">
        <v>24</v>
      </c>
      <c r="G22" s="11"/>
      <c r="H22" s="8"/>
      <c r="I22" s="8">
        <f t="shared" si="1"/>
        <v>1</v>
      </c>
      <c r="J22" s="9">
        <f t="shared" si="2"/>
        <v>0</v>
      </c>
      <c r="K22" s="9">
        <v>1.5</v>
      </c>
      <c r="L22" s="12">
        <f t="shared" si="3"/>
        <v>0</v>
      </c>
      <c r="M22" s="12">
        <v>40.0</v>
      </c>
      <c r="N22" s="13">
        <v>0.2</v>
      </c>
      <c r="O22" s="14">
        <f t="shared" si="4"/>
        <v>0</v>
      </c>
      <c r="P22" s="14">
        <f t="shared" si="5"/>
        <v>0</v>
      </c>
    </row>
    <row r="23" ht="15.75" customHeight="1">
      <c r="A23" s="8" t="s">
        <v>31</v>
      </c>
      <c r="B23" s="9" t="s">
        <v>20</v>
      </c>
      <c r="C23" s="9" t="s">
        <v>46</v>
      </c>
      <c r="D23" s="9" t="s">
        <v>51</v>
      </c>
      <c r="E23" s="10" t="s">
        <v>23</v>
      </c>
      <c r="F23" s="8" t="s">
        <v>24</v>
      </c>
      <c r="G23" s="11"/>
      <c r="H23" s="8"/>
      <c r="I23" s="8">
        <f t="shared" si="1"/>
        <v>1</v>
      </c>
      <c r="J23" s="9">
        <f t="shared" si="2"/>
        <v>0</v>
      </c>
      <c r="K23" s="9">
        <v>1.5</v>
      </c>
      <c r="L23" s="12">
        <f t="shared" si="3"/>
        <v>0</v>
      </c>
      <c r="M23" s="12">
        <v>40.0</v>
      </c>
      <c r="N23" s="13">
        <v>0.2</v>
      </c>
      <c r="O23" s="14">
        <f t="shared" si="4"/>
        <v>0</v>
      </c>
      <c r="P23" s="14">
        <f t="shared" si="5"/>
        <v>0</v>
      </c>
    </row>
    <row r="24" ht="15.75" customHeight="1">
      <c r="A24" s="8" t="s">
        <v>31</v>
      </c>
      <c r="B24" s="9" t="s">
        <v>20</v>
      </c>
      <c r="C24" s="9" t="s">
        <v>46</v>
      </c>
      <c r="D24" s="9" t="s">
        <v>52</v>
      </c>
      <c r="E24" s="10" t="s">
        <v>23</v>
      </c>
      <c r="F24" s="8" t="s">
        <v>24</v>
      </c>
      <c r="G24" s="11"/>
      <c r="H24" s="8"/>
      <c r="I24" s="8">
        <f t="shared" si="1"/>
        <v>1</v>
      </c>
      <c r="J24" s="9">
        <f t="shared" si="2"/>
        <v>0</v>
      </c>
      <c r="K24" s="9">
        <v>2.0</v>
      </c>
      <c r="L24" s="12">
        <f t="shared" si="3"/>
        <v>0</v>
      </c>
      <c r="M24" s="12">
        <v>40.0</v>
      </c>
      <c r="N24" s="13">
        <v>0.2</v>
      </c>
      <c r="O24" s="14">
        <f t="shared" si="4"/>
        <v>0</v>
      </c>
      <c r="P24" s="14">
        <f t="shared" si="5"/>
        <v>0</v>
      </c>
    </row>
    <row r="25" ht="15.75" customHeight="1">
      <c r="A25" s="8" t="s">
        <v>31</v>
      </c>
      <c r="B25" s="9" t="s">
        <v>20</v>
      </c>
      <c r="C25" s="9" t="s">
        <v>46</v>
      </c>
      <c r="D25" s="9" t="s">
        <v>53</v>
      </c>
      <c r="E25" s="10" t="s">
        <v>23</v>
      </c>
      <c r="F25" s="8" t="s">
        <v>24</v>
      </c>
      <c r="G25" s="11"/>
      <c r="H25" s="8"/>
      <c r="I25" s="8">
        <f t="shared" si="1"/>
        <v>1</v>
      </c>
      <c r="J25" s="9">
        <f t="shared" si="2"/>
        <v>0</v>
      </c>
      <c r="K25" s="9">
        <v>2.0</v>
      </c>
      <c r="L25" s="12">
        <f t="shared" si="3"/>
        <v>0</v>
      </c>
      <c r="M25" s="12">
        <v>40.0</v>
      </c>
      <c r="N25" s="13">
        <v>0.2</v>
      </c>
      <c r="O25" s="14">
        <f t="shared" si="4"/>
        <v>0</v>
      </c>
      <c r="P25" s="14">
        <f t="shared" si="5"/>
        <v>0</v>
      </c>
    </row>
    <row r="26" ht="15.75" customHeight="1">
      <c r="A26" s="8" t="s">
        <v>31</v>
      </c>
      <c r="B26" s="9" t="s">
        <v>20</v>
      </c>
      <c r="C26" s="9" t="s">
        <v>46</v>
      </c>
      <c r="D26" s="9" t="s">
        <v>54</v>
      </c>
      <c r="E26" s="10" t="s">
        <v>23</v>
      </c>
      <c r="F26" s="8" t="s">
        <v>24</v>
      </c>
      <c r="G26" s="11"/>
      <c r="H26" s="8"/>
      <c r="I26" s="8">
        <f t="shared" si="1"/>
        <v>1</v>
      </c>
      <c r="J26" s="9">
        <f t="shared" si="2"/>
        <v>0</v>
      </c>
      <c r="K26" s="9">
        <v>2.0</v>
      </c>
      <c r="L26" s="12">
        <f t="shared" si="3"/>
        <v>0</v>
      </c>
      <c r="M26" s="12">
        <v>40.0</v>
      </c>
      <c r="N26" s="13">
        <v>0.2</v>
      </c>
      <c r="O26" s="14">
        <f t="shared" si="4"/>
        <v>0</v>
      </c>
      <c r="P26" s="14">
        <f t="shared" si="5"/>
        <v>0</v>
      </c>
    </row>
    <row r="27" ht="15.75" customHeight="1">
      <c r="A27" s="8" t="s">
        <v>31</v>
      </c>
      <c r="B27" s="9" t="s">
        <v>20</v>
      </c>
      <c r="C27" s="9" t="s">
        <v>46</v>
      </c>
      <c r="D27" s="9" t="s">
        <v>55</v>
      </c>
      <c r="E27" s="10" t="s">
        <v>23</v>
      </c>
      <c r="F27" s="8" t="s">
        <v>24</v>
      </c>
      <c r="G27" s="11"/>
      <c r="H27" s="8"/>
      <c r="I27" s="8">
        <f t="shared" si="1"/>
        <v>1</v>
      </c>
      <c r="J27" s="9">
        <f t="shared" si="2"/>
        <v>0</v>
      </c>
      <c r="K27" s="9">
        <v>2.0</v>
      </c>
      <c r="L27" s="12">
        <f t="shared" si="3"/>
        <v>0</v>
      </c>
      <c r="M27" s="12">
        <v>40.0</v>
      </c>
      <c r="N27" s="13">
        <v>0.2</v>
      </c>
      <c r="O27" s="14">
        <f t="shared" si="4"/>
        <v>0</v>
      </c>
      <c r="P27" s="14">
        <f t="shared" si="5"/>
        <v>0</v>
      </c>
    </row>
    <row r="28" ht="15.75" customHeight="1">
      <c r="A28" s="8" t="s">
        <v>31</v>
      </c>
      <c r="B28" s="9" t="s">
        <v>20</v>
      </c>
      <c r="C28" s="9" t="s">
        <v>46</v>
      </c>
      <c r="D28" s="9" t="s">
        <v>56</v>
      </c>
      <c r="E28" s="10" t="s">
        <v>23</v>
      </c>
      <c r="F28" s="8" t="s">
        <v>24</v>
      </c>
      <c r="G28" s="11"/>
      <c r="H28" s="8"/>
      <c r="I28" s="8">
        <f t="shared" si="1"/>
        <v>1</v>
      </c>
      <c r="J28" s="9">
        <f t="shared" si="2"/>
        <v>0</v>
      </c>
      <c r="K28" s="9">
        <v>2.5</v>
      </c>
      <c r="L28" s="12">
        <f t="shared" si="3"/>
        <v>0</v>
      </c>
      <c r="M28" s="12">
        <v>40.0</v>
      </c>
      <c r="N28" s="13">
        <v>0.2</v>
      </c>
      <c r="O28" s="14">
        <f t="shared" si="4"/>
        <v>0</v>
      </c>
      <c r="P28" s="14">
        <f t="shared" si="5"/>
        <v>0</v>
      </c>
    </row>
    <row r="29" ht="15.75" customHeight="1">
      <c r="A29" s="8" t="s">
        <v>31</v>
      </c>
      <c r="B29" s="9" t="s">
        <v>20</v>
      </c>
      <c r="C29" s="9" t="s">
        <v>46</v>
      </c>
      <c r="D29" s="9" t="s">
        <v>57</v>
      </c>
      <c r="E29" s="10" t="s">
        <v>23</v>
      </c>
      <c r="F29" s="8" t="s">
        <v>24</v>
      </c>
      <c r="G29" s="11"/>
      <c r="H29" s="8"/>
      <c r="I29" s="8">
        <f t="shared" si="1"/>
        <v>1</v>
      </c>
      <c r="J29" s="9">
        <f t="shared" si="2"/>
        <v>0</v>
      </c>
      <c r="K29" s="9">
        <v>1.5</v>
      </c>
      <c r="L29" s="12">
        <f t="shared" si="3"/>
        <v>0</v>
      </c>
      <c r="M29" s="12">
        <v>40.0</v>
      </c>
      <c r="N29" s="13">
        <v>0.2</v>
      </c>
      <c r="O29" s="14">
        <f t="shared" si="4"/>
        <v>0</v>
      </c>
      <c r="P29" s="14">
        <f t="shared" si="5"/>
        <v>0</v>
      </c>
    </row>
    <row r="30" ht="15.75" customHeight="1">
      <c r="A30" s="8" t="s">
        <v>31</v>
      </c>
      <c r="B30" s="9" t="s">
        <v>20</v>
      </c>
      <c r="C30" s="9" t="s">
        <v>46</v>
      </c>
      <c r="D30" s="9" t="s">
        <v>58</v>
      </c>
      <c r="E30" s="10" t="s">
        <v>23</v>
      </c>
      <c r="F30" s="8" t="s">
        <v>24</v>
      </c>
      <c r="G30" s="11"/>
      <c r="H30" s="8"/>
      <c r="I30" s="8">
        <f t="shared" si="1"/>
        <v>1</v>
      </c>
      <c r="J30" s="9">
        <f t="shared" si="2"/>
        <v>0</v>
      </c>
      <c r="K30" s="9">
        <v>1.5</v>
      </c>
      <c r="L30" s="12">
        <f t="shared" si="3"/>
        <v>0</v>
      </c>
      <c r="M30" s="12">
        <v>40.0</v>
      </c>
      <c r="N30" s="13">
        <v>0.2</v>
      </c>
      <c r="O30" s="14">
        <f t="shared" si="4"/>
        <v>0</v>
      </c>
      <c r="P30" s="14">
        <f t="shared" si="5"/>
        <v>0</v>
      </c>
    </row>
    <row r="31" ht="15.75" customHeight="1">
      <c r="A31" s="8" t="s">
        <v>31</v>
      </c>
      <c r="B31" s="9" t="s">
        <v>20</v>
      </c>
      <c r="C31" s="9" t="s">
        <v>46</v>
      </c>
      <c r="D31" s="9" t="s">
        <v>59</v>
      </c>
      <c r="E31" s="10" t="s">
        <v>23</v>
      </c>
      <c r="F31" s="8" t="s">
        <v>24</v>
      </c>
      <c r="G31" s="11"/>
      <c r="H31" s="8"/>
      <c r="I31" s="8">
        <f t="shared" si="1"/>
        <v>1</v>
      </c>
      <c r="J31" s="9">
        <f t="shared" si="2"/>
        <v>0</v>
      </c>
      <c r="K31" s="9">
        <v>2.0</v>
      </c>
      <c r="L31" s="12">
        <f t="shared" si="3"/>
        <v>0</v>
      </c>
      <c r="M31" s="12">
        <v>40.0</v>
      </c>
      <c r="N31" s="13">
        <v>0.2</v>
      </c>
      <c r="O31" s="14">
        <f t="shared" si="4"/>
        <v>0</v>
      </c>
      <c r="P31" s="14">
        <f t="shared" si="5"/>
        <v>0</v>
      </c>
    </row>
    <row r="32" ht="15.75" customHeight="1">
      <c r="A32" s="8" t="s">
        <v>31</v>
      </c>
      <c r="B32" s="9" t="s">
        <v>20</v>
      </c>
      <c r="C32" s="9" t="s">
        <v>46</v>
      </c>
      <c r="D32" s="9" t="s">
        <v>60</v>
      </c>
      <c r="E32" s="10" t="s">
        <v>23</v>
      </c>
      <c r="F32" s="8" t="s">
        <v>24</v>
      </c>
      <c r="G32" s="11"/>
      <c r="H32" s="8"/>
      <c r="I32" s="8">
        <f t="shared" si="1"/>
        <v>1</v>
      </c>
      <c r="J32" s="9">
        <f t="shared" si="2"/>
        <v>0</v>
      </c>
      <c r="K32" s="9">
        <v>2.0</v>
      </c>
      <c r="L32" s="12">
        <f t="shared" si="3"/>
        <v>0</v>
      </c>
      <c r="M32" s="12">
        <v>40.0</v>
      </c>
      <c r="N32" s="13">
        <v>0.2</v>
      </c>
      <c r="O32" s="14">
        <f t="shared" si="4"/>
        <v>0</v>
      </c>
      <c r="P32" s="14">
        <f t="shared" si="5"/>
        <v>0</v>
      </c>
    </row>
    <row r="33" ht="15.75" customHeight="1">
      <c r="A33" s="8" t="s">
        <v>31</v>
      </c>
      <c r="B33" s="9" t="s">
        <v>20</v>
      </c>
      <c r="C33" s="9" t="s">
        <v>46</v>
      </c>
      <c r="D33" s="9" t="s">
        <v>61</v>
      </c>
      <c r="E33" s="10" t="s">
        <v>23</v>
      </c>
      <c r="F33" s="8" t="s">
        <v>24</v>
      </c>
      <c r="G33" s="11"/>
      <c r="H33" s="8"/>
      <c r="I33" s="8">
        <f t="shared" si="1"/>
        <v>1</v>
      </c>
      <c r="J33" s="9">
        <f t="shared" si="2"/>
        <v>0</v>
      </c>
      <c r="K33" s="9">
        <v>2.0</v>
      </c>
      <c r="L33" s="12">
        <f t="shared" si="3"/>
        <v>0</v>
      </c>
      <c r="M33" s="12">
        <v>40.0</v>
      </c>
      <c r="N33" s="13">
        <v>0.2</v>
      </c>
      <c r="O33" s="14">
        <f t="shared" si="4"/>
        <v>0</v>
      </c>
      <c r="P33" s="14">
        <f t="shared" si="5"/>
        <v>0</v>
      </c>
    </row>
    <row r="34" ht="15.75" customHeight="1">
      <c r="A34" s="8" t="s">
        <v>31</v>
      </c>
      <c r="B34" s="9" t="s">
        <v>20</v>
      </c>
      <c r="C34" s="9" t="s">
        <v>62</v>
      </c>
      <c r="D34" s="9" t="s">
        <v>63</v>
      </c>
      <c r="E34" s="10" t="s">
        <v>23</v>
      </c>
      <c r="F34" s="8" t="s">
        <v>24</v>
      </c>
      <c r="G34" s="11"/>
      <c r="H34" s="8"/>
      <c r="I34" s="8">
        <f t="shared" si="1"/>
        <v>1</v>
      </c>
      <c r="J34" s="9">
        <f t="shared" si="2"/>
        <v>0</v>
      </c>
      <c r="K34" s="9">
        <v>10.0</v>
      </c>
      <c r="L34" s="12">
        <f t="shared" si="3"/>
        <v>0</v>
      </c>
      <c r="M34" s="12">
        <v>40.0</v>
      </c>
      <c r="N34" s="13">
        <v>0.2</v>
      </c>
      <c r="O34" s="14">
        <f t="shared" si="4"/>
        <v>0</v>
      </c>
      <c r="P34" s="14">
        <f t="shared" si="5"/>
        <v>0</v>
      </c>
    </row>
    <row r="35" ht="15.75" customHeight="1">
      <c r="A35" s="8" t="s">
        <v>31</v>
      </c>
      <c r="B35" s="9" t="s">
        <v>20</v>
      </c>
      <c r="C35" s="9" t="s">
        <v>62</v>
      </c>
      <c r="D35" s="9" t="s">
        <v>64</v>
      </c>
      <c r="E35" s="10" t="s">
        <v>23</v>
      </c>
      <c r="F35" s="8" t="s">
        <v>24</v>
      </c>
      <c r="G35" s="11"/>
      <c r="H35" s="8"/>
      <c r="I35" s="8">
        <f t="shared" si="1"/>
        <v>1</v>
      </c>
      <c r="J35" s="9">
        <f t="shared" si="2"/>
        <v>0</v>
      </c>
      <c r="K35" s="9">
        <v>6.0</v>
      </c>
      <c r="L35" s="12">
        <f t="shared" si="3"/>
        <v>0</v>
      </c>
      <c r="M35" s="12">
        <v>40.0</v>
      </c>
      <c r="N35" s="13">
        <v>0.2</v>
      </c>
      <c r="O35" s="14">
        <f t="shared" si="4"/>
        <v>0</v>
      </c>
      <c r="P35" s="14">
        <f t="shared" si="5"/>
        <v>0</v>
      </c>
    </row>
    <row r="36" ht="15.75" customHeight="1">
      <c r="A36" s="8" t="s">
        <v>31</v>
      </c>
      <c r="B36" s="9" t="s">
        <v>20</v>
      </c>
      <c r="C36" s="9" t="s">
        <v>62</v>
      </c>
      <c r="D36" s="9" t="s">
        <v>65</v>
      </c>
      <c r="E36" s="10" t="s">
        <v>23</v>
      </c>
      <c r="F36" s="8" t="s">
        <v>24</v>
      </c>
      <c r="G36" s="11"/>
      <c r="H36" s="8"/>
      <c r="I36" s="8">
        <f t="shared" si="1"/>
        <v>1</v>
      </c>
      <c r="J36" s="9">
        <f t="shared" si="2"/>
        <v>0</v>
      </c>
      <c r="K36" s="9">
        <v>5.0</v>
      </c>
      <c r="L36" s="12">
        <f t="shared" si="3"/>
        <v>0</v>
      </c>
      <c r="M36" s="12">
        <v>40.0</v>
      </c>
      <c r="N36" s="13">
        <v>0.2</v>
      </c>
      <c r="O36" s="14">
        <f t="shared" si="4"/>
        <v>0</v>
      </c>
      <c r="P36" s="14">
        <f t="shared" si="5"/>
        <v>0</v>
      </c>
    </row>
    <row r="37" ht="15.75" customHeight="1">
      <c r="A37" s="8" t="s">
        <v>31</v>
      </c>
      <c r="B37" s="9" t="s">
        <v>20</v>
      </c>
      <c r="C37" s="9" t="s">
        <v>62</v>
      </c>
      <c r="D37" s="9" t="s">
        <v>66</v>
      </c>
      <c r="E37" s="10" t="s">
        <v>23</v>
      </c>
      <c r="F37" s="8" t="s">
        <v>24</v>
      </c>
      <c r="G37" s="11"/>
      <c r="H37" s="8"/>
      <c r="I37" s="8">
        <f t="shared" si="1"/>
        <v>1</v>
      </c>
      <c r="J37" s="9">
        <f t="shared" si="2"/>
        <v>0</v>
      </c>
      <c r="K37" s="9">
        <v>5.0</v>
      </c>
      <c r="L37" s="12">
        <f t="shared" si="3"/>
        <v>0</v>
      </c>
      <c r="M37" s="12">
        <v>40.0</v>
      </c>
      <c r="N37" s="13">
        <v>0.2</v>
      </c>
      <c r="O37" s="14">
        <f t="shared" si="4"/>
        <v>0</v>
      </c>
      <c r="P37" s="14">
        <f t="shared" si="5"/>
        <v>0</v>
      </c>
    </row>
    <row r="38" ht="15.75" customHeight="1">
      <c r="A38" s="8" t="s">
        <v>31</v>
      </c>
      <c r="B38" s="9" t="s">
        <v>20</v>
      </c>
      <c r="C38" s="9" t="s">
        <v>62</v>
      </c>
      <c r="D38" s="9" t="s">
        <v>67</v>
      </c>
      <c r="E38" s="10" t="s">
        <v>23</v>
      </c>
      <c r="F38" s="8" t="s">
        <v>24</v>
      </c>
      <c r="G38" s="11"/>
      <c r="H38" s="8"/>
      <c r="I38" s="8">
        <f t="shared" si="1"/>
        <v>1</v>
      </c>
      <c r="J38" s="9">
        <f t="shared" si="2"/>
        <v>0</v>
      </c>
      <c r="K38" s="9">
        <v>6.0</v>
      </c>
      <c r="L38" s="12">
        <f t="shared" si="3"/>
        <v>0</v>
      </c>
      <c r="M38" s="12">
        <v>40.0</v>
      </c>
      <c r="N38" s="13">
        <v>0.2</v>
      </c>
      <c r="O38" s="14">
        <f t="shared" si="4"/>
        <v>0</v>
      </c>
      <c r="P38" s="14">
        <f t="shared" si="5"/>
        <v>0</v>
      </c>
    </row>
    <row r="39" ht="15.75" customHeight="1">
      <c r="A39" s="8" t="s">
        <v>31</v>
      </c>
      <c r="B39" s="9" t="s">
        <v>20</v>
      </c>
      <c r="C39" s="9" t="s">
        <v>62</v>
      </c>
      <c r="D39" s="9" t="s">
        <v>68</v>
      </c>
      <c r="E39" s="10" t="s">
        <v>23</v>
      </c>
      <c r="F39" s="8" t="s">
        <v>24</v>
      </c>
      <c r="G39" s="11"/>
      <c r="H39" s="8"/>
      <c r="I39" s="8">
        <f t="shared" si="1"/>
        <v>1</v>
      </c>
      <c r="J39" s="9">
        <f t="shared" si="2"/>
        <v>0</v>
      </c>
      <c r="K39" s="9">
        <v>6.0</v>
      </c>
      <c r="L39" s="12">
        <f t="shared" si="3"/>
        <v>0</v>
      </c>
      <c r="M39" s="12">
        <v>40.0</v>
      </c>
      <c r="N39" s="13">
        <v>0.2</v>
      </c>
      <c r="O39" s="14">
        <f t="shared" si="4"/>
        <v>0</v>
      </c>
      <c r="P39" s="14">
        <f t="shared" si="5"/>
        <v>0</v>
      </c>
    </row>
    <row r="40" ht="15.75" customHeight="1">
      <c r="A40" s="8" t="s">
        <v>31</v>
      </c>
      <c r="B40" s="9" t="s">
        <v>20</v>
      </c>
      <c r="C40" s="9" t="s">
        <v>62</v>
      </c>
      <c r="D40" s="9" t="s">
        <v>69</v>
      </c>
      <c r="E40" s="10" t="s">
        <v>23</v>
      </c>
      <c r="F40" s="8" t="s">
        <v>24</v>
      </c>
      <c r="G40" s="11"/>
      <c r="H40" s="8"/>
      <c r="I40" s="8">
        <f t="shared" si="1"/>
        <v>1</v>
      </c>
      <c r="J40" s="9">
        <f t="shared" si="2"/>
        <v>0</v>
      </c>
      <c r="K40" s="9">
        <v>5.0</v>
      </c>
      <c r="L40" s="12">
        <f t="shared" si="3"/>
        <v>0</v>
      </c>
      <c r="M40" s="12">
        <v>40.0</v>
      </c>
      <c r="N40" s="13">
        <v>0.2</v>
      </c>
      <c r="O40" s="14">
        <f t="shared" si="4"/>
        <v>0</v>
      </c>
      <c r="P40" s="14">
        <f t="shared" si="5"/>
        <v>0</v>
      </c>
    </row>
    <row r="41" ht="15.75" customHeight="1">
      <c r="A41" s="8" t="s">
        <v>31</v>
      </c>
      <c r="B41" s="9" t="s">
        <v>20</v>
      </c>
      <c r="C41" s="9" t="s">
        <v>62</v>
      </c>
      <c r="D41" s="9" t="s">
        <v>70</v>
      </c>
      <c r="E41" s="10" t="s">
        <v>23</v>
      </c>
      <c r="F41" s="8" t="s">
        <v>24</v>
      </c>
      <c r="G41" s="11"/>
      <c r="H41" s="8"/>
      <c r="I41" s="8">
        <f t="shared" si="1"/>
        <v>1</v>
      </c>
      <c r="J41" s="9">
        <f t="shared" si="2"/>
        <v>0</v>
      </c>
      <c r="K41" s="9">
        <v>5.0</v>
      </c>
      <c r="L41" s="12">
        <f t="shared" si="3"/>
        <v>0</v>
      </c>
      <c r="M41" s="12">
        <v>40.0</v>
      </c>
      <c r="N41" s="13">
        <v>0.2</v>
      </c>
      <c r="O41" s="14">
        <f t="shared" si="4"/>
        <v>0</v>
      </c>
      <c r="P41" s="14">
        <f t="shared" si="5"/>
        <v>0</v>
      </c>
    </row>
    <row r="42" ht="15.75" customHeight="1">
      <c r="A42" s="8" t="s">
        <v>31</v>
      </c>
      <c r="B42" s="9" t="s">
        <v>20</v>
      </c>
      <c r="C42" s="9" t="s">
        <v>62</v>
      </c>
      <c r="D42" s="9" t="s">
        <v>71</v>
      </c>
      <c r="E42" s="10" t="s">
        <v>23</v>
      </c>
      <c r="F42" s="8" t="s">
        <v>24</v>
      </c>
      <c r="G42" s="11"/>
      <c r="H42" s="8"/>
      <c r="I42" s="8">
        <f t="shared" si="1"/>
        <v>1</v>
      </c>
      <c r="J42" s="9">
        <f t="shared" si="2"/>
        <v>0</v>
      </c>
      <c r="K42" s="9">
        <v>6.0</v>
      </c>
      <c r="L42" s="12">
        <f t="shared" si="3"/>
        <v>0</v>
      </c>
      <c r="M42" s="12">
        <v>40.0</v>
      </c>
      <c r="N42" s="13">
        <v>0.2</v>
      </c>
      <c r="O42" s="14">
        <f t="shared" si="4"/>
        <v>0</v>
      </c>
      <c r="P42" s="14">
        <f t="shared" si="5"/>
        <v>0</v>
      </c>
    </row>
    <row r="43" ht="15.75" customHeight="1">
      <c r="A43" s="8" t="s">
        <v>31</v>
      </c>
      <c r="B43" s="9" t="s">
        <v>20</v>
      </c>
      <c r="C43" s="9" t="s">
        <v>62</v>
      </c>
      <c r="D43" s="9" t="s">
        <v>72</v>
      </c>
      <c r="E43" s="10" t="s">
        <v>23</v>
      </c>
      <c r="F43" s="8" t="s">
        <v>24</v>
      </c>
      <c r="G43" s="11"/>
      <c r="H43" s="8"/>
      <c r="I43" s="8">
        <f t="shared" si="1"/>
        <v>1</v>
      </c>
      <c r="J43" s="9">
        <f t="shared" si="2"/>
        <v>0</v>
      </c>
      <c r="K43" s="9">
        <v>4.0</v>
      </c>
      <c r="L43" s="12">
        <f t="shared" si="3"/>
        <v>0</v>
      </c>
      <c r="M43" s="12">
        <v>40.0</v>
      </c>
      <c r="N43" s="13">
        <v>0.2</v>
      </c>
      <c r="O43" s="14">
        <f t="shared" si="4"/>
        <v>0</v>
      </c>
      <c r="P43" s="14">
        <f t="shared" si="5"/>
        <v>0</v>
      </c>
    </row>
    <row r="44" ht="15.75" customHeight="1">
      <c r="A44" s="8" t="s">
        <v>31</v>
      </c>
      <c r="B44" s="9" t="s">
        <v>20</v>
      </c>
      <c r="C44" s="9" t="s">
        <v>62</v>
      </c>
      <c r="D44" s="9" t="s">
        <v>73</v>
      </c>
      <c r="E44" s="10" t="s">
        <v>23</v>
      </c>
      <c r="F44" s="8" t="s">
        <v>24</v>
      </c>
      <c r="G44" s="11"/>
      <c r="H44" s="8"/>
      <c r="I44" s="8">
        <f t="shared" si="1"/>
        <v>1</v>
      </c>
      <c r="J44" s="9">
        <f t="shared" si="2"/>
        <v>0</v>
      </c>
      <c r="K44" s="9">
        <v>4.0</v>
      </c>
      <c r="L44" s="12">
        <f t="shared" si="3"/>
        <v>0</v>
      </c>
      <c r="M44" s="12">
        <v>40.0</v>
      </c>
      <c r="N44" s="13">
        <v>0.2</v>
      </c>
      <c r="O44" s="14">
        <f t="shared" si="4"/>
        <v>0</v>
      </c>
      <c r="P44" s="14">
        <f t="shared" si="5"/>
        <v>0</v>
      </c>
    </row>
    <row r="45" ht="15.75" customHeight="1">
      <c r="A45" s="8" t="s">
        <v>31</v>
      </c>
      <c r="B45" s="9" t="s">
        <v>20</v>
      </c>
      <c r="C45" s="9" t="s">
        <v>62</v>
      </c>
      <c r="D45" s="9" t="s">
        <v>74</v>
      </c>
      <c r="E45" s="10" t="s">
        <v>23</v>
      </c>
      <c r="F45" s="8" t="s">
        <v>24</v>
      </c>
      <c r="G45" s="11"/>
      <c r="H45" s="8"/>
      <c r="I45" s="8">
        <f t="shared" si="1"/>
        <v>1</v>
      </c>
      <c r="J45" s="9">
        <f t="shared" si="2"/>
        <v>0</v>
      </c>
      <c r="K45" s="9">
        <v>4.0</v>
      </c>
      <c r="L45" s="12">
        <f t="shared" si="3"/>
        <v>0</v>
      </c>
      <c r="M45" s="12">
        <v>40.0</v>
      </c>
      <c r="N45" s="13">
        <v>0.2</v>
      </c>
      <c r="O45" s="14">
        <f t="shared" si="4"/>
        <v>0</v>
      </c>
      <c r="P45" s="14">
        <f t="shared" si="5"/>
        <v>0</v>
      </c>
    </row>
    <row r="46" ht="15.75" customHeight="1">
      <c r="A46" s="8" t="s">
        <v>31</v>
      </c>
      <c r="B46" s="9" t="s">
        <v>20</v>
      </c>
      <c r="C46" s="9" t="s">
        <v>62</v>
      </c>
      <c r="D46" s="9" t="s">
        <v>75</v>
      </c>
      <c r="E46" s="10" t="s">
        <v>23</v>
      </c>
      <c r="F46" s="8" t="s">
        <v>24</v>
      </c>
      <c r="G46" s="11"/>
      <c r="H46" s="8"/>
      <c r="I46" s="8">
        <f t="shared" si="1"/>
        <v>1</v>
      </c>
      <c r="J46" s="9">
        <f t="shared" si="2"/>
        <v>0</v>
      </c>
      <c r="K46" s="9">
        <v>3.0</v>
      </c>
      <c r="L46" s="12">
        <f t="shared" si="3"/>
        <v>0</v>
      </c>
      <c r="M46" s="12">
        <v>40.0</v>
      </c>
      <c r="N46" s="13">
        <v>0.2</v>
      </c>
      <c r="O46" s="14">
        <f t="shared" si="4"/>
        <v>0</v>
      </c>
      <c r="P46" s="14">
        <f t="shared" si="5"/>
        <v>0</v>
      </c>
    </row>
    <row r="47" ht="15.75" customHeight="1">
      <c r="A47" s="8" t="s">
        <v>31</v>
      </c>
      <c r="B47" s="9" t="s">
        <v>20</v>
      </c>
      <c r="C47" s="9" t="s">
        <v>62</v>
      </c>
      <c r="D47" s="9" t="s">
        <v>76</v>
      </c>
      <c r="E47" s="10" t="s">
        <v>23</v>
      </c>
      <c r="F47" s="8" t="s">
        <v>24</v>
      </c>
      <c r="G47" s="11"/>
      <c r="H47" s="8"/>
      <c r="I47" s="8">
        <f t="shared" si="1"/>
        <v>1</v>
      </c>
      <c r="J47" s="9">
        <f t="shared" si="2"/>
        <v>0</v>
      </c>
      <c r="K47" s="9">
        <v>4.0</v>
      </c>
      <c r="L47" s="12">
        <f t="shared" si="3"/>
        <v>0</v>
      </c>
      <c r="M47" s="12">
        <v>40.0</v>
      </c>
      <c r="N47" s="13">
        <v>0.2</v>
      </c>
      <c r="O47" s="14">
        <f t="shared" si="4"/>
        <v>0</v>
      </c>
      <c r="P47" s="14">
        <f t="shared" si="5"/>
        <v>0</v>
      </c>
    </row>
    <row r="48" ht="15.75" customHeight="1">
      <c r="A48" s="8" t="s">
        <v>31</v>
      </c>
      <c r="B48" s="9" t="s">
        <v>20</v>
      </c>
      <c r="C48" s="9" t="s">
        <v>62</v>
      </c>
      <c r="D48" s="9" t="s">
        <v>77</v>
      </c>
      <c r="E48" s="10" t="s">
        <v>23</v>
      </c>
      <c r="F48" s="8" t="s">
        <v>24</v>
      </c>
      <c r="G48" s="11"/>
      <c r="H48" s="8"/>
      <c r="I48" s="8">
        <f t="shared" si="1"/>
        <v>1</v>
      </c>
      <c r="J48" s="9">
        <f t="shared" si="2"/>
        <v>0</v>
      </c>
      <c r="K48" s="9">
        <v>4.0</v>
      </c>
      <c r="L48" s="12">
        <f t="shared" si="3"/>
        <v>0</v>
      </c>
      <c r="M48" s="12">
        <v>40.0</v>
      </c>
      <c r="N48" s="13">
        <v>0.2</v>
      </c>
      <c r="O48" s="14">
        <f t="shared" si="4"/>
        <v>0</v>
      </c>
      <c r="P48" s="14">
        <f t="shared" si="5"/>
        <v>0</v>
      </c>
    </row>
    <row r="49" ht="15.75" customHeight="1">
      <c r="A49" s="8" t="s">
        <v>31</v>
      </c>
      <c r="B49" s="9" t="s">
        <v>20</v>
      </c>
      <c r="C49" s="9" t="s">
        <v>62</v>
      </c>
      <c r="D49" s="9" t="s">
        <v>78</v>
      </c>
      <c r="E49" s="10" t="s">
        <v>23</v>
      </c>
      <c r="F49" s="8" t="s">
        <v>24</v>
      </c>
      <c r="G49" s="11"/>
      <c r="H49" s="8"/>
      <c r="I49" s="8">
        <f t="shared" si="1"/>
        <v>1</v>
      </c>
      <c r="J49" s="9">
        <f t="shared" si="2"/>
        <v>0</v>
      </c>
      <c r="K49" s="9">
        <v>6.0</v>
      </c>
      <c r="L49" s="12">
        <f t="shared" si="3"/>
        <v>0</v>
      </c>
      <c r="M49" s="12">
        <v>40.0</v>
      </c>
      <c r="N49" s="13">
        <v>0.2</v>
      </c>
      <c r="O49" s="14">
        <f t="shared" si="4"/>
        <v>0</v>
      </c>
      <c r="P49" s="14">
        <f t="shared" si="5"/>
        <v>0</v>
      </c>
    </row>
    <row r="50" ht="15.75" customHeight="1">
      <c r="A50" s="8" t="s">
        <v>31</v>
      </c>
      <c r="B50" s="9" t="s">
        <v>20</v>
      </c>
      <c r="C50" s="9" t="s">
        <v>62</v>
      </c>
      <c r="D50" s="9" t="s">
        <v>79</v>
      </c>
      <c r="E50" s="10" t="s">
        <v>23</v>
      </c>
      <c r="F50" s="8" t="s">
        <v>24</v>
      </c>
      <c r="G50" s="11"/>
      <c r="H50" s="8"/>
      <c r="I50" s="8">
        <f t="shared" si="1"/>
        <v>1</v>
      </c>
      <c r="J50" s="9">
        <f t="shared" si="2"/>
        <v>0</v>
      </c>
      <c r="K50" s="9">
        <v>5.0</v>
      </c>
      <c r="L50" s="12">
        <f t="shared" si="3"/>
        <v>0</v>
      </c>
      <c r="M50" s="12">
        <v>40.0</v>
      </c>
      <c r="N50" s="13">
        <v>0.2</v>
      </c>
      <c r="O50" s="14">
        <f t="shared" si="4"/>
        <v>0</v>
      </c>
      <c r="P50" s="14">
        <f t="shared" si="5"/>
        <v>0</v>
      </c>
    </row>
    <row r="51" ht="15.75" customHeight="1">
      <c r="A51" s="8" t="s">
        <v>31</v>
      </c>
      <c r="B51" s="9" t="s">
        <v>20</v>
      </c>
      <c r="C51" s="9" t="s">
        <v>62</v>
      </c>
      <c r="D51" s="9" t="s">
        <v>80</v>
      </c>
      <c r="E51" s="10" t="s">
        <v>23</v>
      </c>
      <c r="F51" s="8" t="s">
        <v>24</v>
      </c>
      <c r="G51" s="11"/>
      <c r="H51" s="8"/>
      <c r="I51" s="8">
        <f t="shared" si="1"/>
        <v>1</v>
      </c>
      <c r="J51" s="9">
        <f t="shared" si="2"/>
        <v>0</v>
      </c>
      <c r="K51" s="9">
        <v>4.0</v>
      </c>
      <c r="L51" s="12">
        <f t="shared" si="3"/>
        <v>0</v>
      </c>
      <c r="M51" s="12">
        <v>40.0</v>
      </c>
      <c r="N51" s="13">
        <v>0.2</v>
      </c>
      <c r="O51" s="14">
        <f t="shared" si="4"/>
        <v>0</v>
      </c>
      <c r="P51" s="14">
        <f t="shared" si="5"/>
        <v>0</v>
      </c>
    </row>
    <row r="52" ht="15.75" customHeight="1">
      <c r="A52" s="8" t="s">
        <v>31</v>
      </c>
      <c r="B52" s="9" t="s">
        <v>20</v>
      </c>
      <c r="C52" s="9" t="s">
        <v>62</v>
      </c>
      <c r="D52" s="9" t="s">
        <v>81</v>
      </c>
      <c r="E52" s="10" t="s">
        <v>23</v>
      </c>
      <c r="F52" s="8" t="s">
        <v>24</v>
      </c>
      <c r="G52" s="11"/>
      <c r="H52" s="8"/>
      <c r="I52" s="8">
        <f t="shared" si="1"/>
        <v>1</v>
      </c>
      <c r="J52" s="9">
        <f t="shared" si="2"/>
        <v>0</v>
      </c>
      <c r="K52" s="9">
        <v>3.0</v>
      </c>
      <c r="L52" s="12">
        <f t="shared" si="3"/>
        <v>0</v>
      </c>
      <c r="M52" s="12">
        <v>40.0</v>
      </c>
      <c r="N52" s="13">
        <v>0.2</v>
      </c>
      <c r="O52" s="14">
        <f t="shared" si="4"/>
        <v>0</v>
      </c>
      <c r="P52" s="14">
        <f t="shared" si="5"/>
        <v>0</v>
      </c>
    </row>
    <row r="53" ht="15.75" customHeight="1">
      <c r="A53" s="8" t="s">
        <v>31</v>
      </c>
      <c r="B53" s="9" t="s">
        <v>20</v>
      </c>
      <c r="C53" s="9" t="s">
        <v>62</v>
      </c>
      <c r="D53" s="9" t="s">
        <v>82</v>
      </c>
      <c r="E53" s="10" t="s">
        <v>23</v>
      </c>
      <c r="F53" s="8" t="s">
        <v>24</v>
      </c>
      <c r="G53" s="11"/>
      <c r="H53" s="8"/>
      <c r="I53" s="8">
        <f t="shared" si="1"/>
        <v>1</v>
      </c>
      <c r="J53" s="9">
        <f t="shared" si="2"/>
        <v>0</v>
      </c>
      <c r="K53" s="9">
        <v>2.0</v>
      </c>
      <c r="L53" s="12">
        <f t="shared" si="3"/>
        <v>0</v>
      </c>
      <c r="M53" s="12">
        <v>40.0</v>
      </c>
      <c r="N53" s="13">
        <v>0.2</v>
      </c>
      <c r="O53" s="14">
        <f t="shared" si="4"/>
        <v>0</v>
      </c>
      <c r="P53" s="14">
        <f t="shared" si="5"/>
        <v>0</v>
      </c>
    </row>
    <row r="54" ht="15.75" customHeight="1">
      <c r="A54" s="8" t="s">
        <v>31</v>
      </c>
      <c r="B54" s="9" t="s">
        <v>20</v>
      </c>
      <c r="C54" s="9" t="s">
        <v>62</v>
      </c>
      <c r="D54" s="9" t="s">
        <v>83</v>
      </c>
      <c r="E54" s="10" t="s">
        <v>23</v>
      </c>
      <c r="F54" s="8" t="s">
        <v>24</v>
      </c>
      <c r="G54" s="11"/>
      <c r="H54" s="8"/>
      <c r="I54" s="8">
        <f t="shared" si="1"/>
        <v>1</v>
      </c>
      <c r="J54" s="9">
        <f t="shared" si="2"/>
        <v>0</v>
      </c>
      <c r="K54" s="9">
        <v>1.5</v>
      </c>
      <c r="L54" s="12">
        <f t="shared" si="3"/>
        <v>0</v>
      </c>
      <c r="M54" s="12">
        <v>40.0</v>
      </c>
      <c r="N54" s="13">
        <v>0.2</v>
      </c>
      <c r="O54" s="14">
        <f t="shared" si="4"/>
        <v>0</v>
      </c>
      <c r="P54" s="14">
        <f t="shared" si="5"/>
        <v>0</v>
      </c>
    </row>
    <row r="55" ht="15.75" customHeight="1">
      <c r="A55" s="8" t="s">
        <v>31</v>
      </c>
      <c r="B55" s="9" t="s">
        <v>20</v>
      </c>
      <c r="C55" s="9" t="s">
        <v>84</v>
      </c>
      <c r="D55" s="9" t="s">
        <v>85</v>
      </c>
      <c r="E55" s="10" t="s">
        <v>23</v>
      </c>
      <c r="F55" s="8" t="s">
        <v>26</v>
      </c>
      <c r="G55" s="11" t="s">
        <v>86</v>
      </c>
      <c r="H55" s="8"/>
      <c r="I55" s="8" t="str">
        <f t="shared" si="1"/>
        <v/>
      </c>
      <c r="J55" s="9">
        <f t="shared" si="2"/>
        <v>0</v>
      </c>
      <c r="K55" s="9">
        <v>3.0</v>
      </c>
      <c r="L55" s="12">
        <f t="shared" si="3"/>
        <v>0</v>
      </c>
      <c r="M55" s="12">
        <v>40.0</v>
      </c>
      <c r="N55" s="13">
        <v>0.2</v>
      </c>
      <c r="O55" s="14">
        <f t="shared" si="4"/>
        <v>0</v>
      </c>
      <c r="P55" s="14">
        <f t="shared" si="5"/>
        <v>0</v>
      </c>
    </row>
    <row r="56" ht="15.75" customHeight="1">
      <c r="A56" s="8" t="s">
        <v>31</v>
      </c>
      <c r="B56" s="9" t="s">
        <v>20</v>
      </c>
      <c r="C56" s="9" t="s">
        <v>84</v>
      </c>
      <c r="D56" s="9" t="s">
        <v>87</v>
      </c>
      <c r="E56" s="10" t="s">
        <v>23</v>
      </c>
      <c r="F56" s="8" t="s">
        <v>26</v>
      </c>
      <c r="G56" s="11" t="s">
        <v>88</v>
      </c>
      <c r="H56" s="8"/>
      <c r="I56" s="8" t="str">
        <f t="shared" si="1"/>
        <v/>
      </c>
      <c r="J56" s="9">
        <f t="shared" si="2"/>
        <v>0</v>
      </c>
      <c r="K56" s="9">
        <v>0.75</v>
      </c>
      <c r="L56" s="12">
        <f t="shared" si="3"/>
        <v>0</v>
      </c>
      <c r="M56" s="12">
        <v>40.0</v>
      </c>
      <c r="N56" s="13">
        <v>0.2</v>
      </c>
      <c r="O56" s="14">
        <f t="shared" si="4"/>
        <v>0</v>
      </c>
      <c r="P56" s="14">
        <f t="shared" si="5"/>
        <v>0</v>
      </c>
    </row>
    <row r="57" ht="15.75" customHeight="1">
      <c r="A57" s="8" t="s">
        <v>31</v>
      </c>
      <c r="B57" s="9" t="s">
        <v>20</v>
      </c>
      <c r="C57" s="9" t="s">
        <v>84</v>
      </c>
      <c r="D57" s="9" t="s">
        <v>89</v>
      </c>
      <c r="E57" s="10" t="s">
        <v>23</v>
      </c>
      <c r="F57" s="8" t="s">
        <v>26</v>
      </c>
      <c r="G57" s="11" t="s">
        <v>90</v>
      </c>
      <c r="H57" s="8"/>
      <c r="I57" s="8" t="str">
        <f t="shared" si="1"/>
        <v/>
      </c>
      <c r="J57" s="9">
        <f t="shared" si="2"/>
        <v>0</v>
      </c>
      <c r="K57" s="9">
        <v>1.5</v>
      </c>
      <c r="L57" s="12">
        <f t="shared" si="3"/>
        <v>0</v>
      </c>
      <c r="M57" s="12">
        <v>40.0</v>
      </c>
      <c r="N57" s="13">
        <v>0.2</v>
      </c>
      <c r="O57" s="14">
        <f t="shared" si="4"/>
        <v>0</v>
      </c>
      <c r="P57" s="14">
        <f t="shared" si="5"/>
        <v>0</v>
      </c>
    </row>
    <row r="58" ht="15.75" customHeight="1">
      <c r="A58" s="8" t="s">
        <v>31</v>
      </c>
      <c r="B58" s="9" t="s">
        <v>20</v>
      </c>
      <c r="C58" s="9" t="s">
        <v>84</v>
      </c>
      <c r="D58" s="9" t="s">
        <v>91</v>
      </c>
      <c r="E58" s="10" t="s">
        <v>23</v>
      </c>
      <c r="F58" s="8" t="s">
        <v>24</v>
      </c>
      <c r="G58" s="11"/>
      <c r="H58" s="8"/>
      <c r="I58" s="8">
        <f t="shared" si="1"/>
        <v>1</v>
      </c>
      <c r="J58" s="9">
        <f t="shared" si="2"/>
        <v>0</v>
      </c>
      <c r="K58" s="9">
        <v>1.0</v>
      </c>
      <c r="L58" s="12">
        <f t="shared" si="3"/>
        <v>0</v>
      </c>
      <c r="M58" s="12">
        <v>40.0</v>
      </c>
      <c r="N58" s="13">
        <v>0.2</v>
      </c>
      <c r="O58" s="14">
        <f t="shared" si="4"/>
        <v>0</v>
      </c>
      <c r="P58" s="14">
        <f t="shared" si="5"/>
        <v>0</v>
      </c>
    </row>
    <row r="59" ht="15.75" customHeight="1">
      <c r="A59" s="8" t="s">
        <v>31</v>
      </c>
      <c r="B59" s="9" t="s">
        <v>20</v>
      </c>
      <c r="C59" s="9" t="s">
        <v>84</v>
      </c>
      <c r="D59" s="9" t="s">
        <v>92</v>
      </c>
      <c r="E59" s="10" t="s">
        <v>23</v>
      </c>
      <c r="F59" s="8" t="s">
        <v>26</v>
      </c>
      <c r="G59" s="11" t="s">
        <v>93</v>
      </c>
      <c r="H59" s="8"/>
      <c r="I59" s="8" t="str">
        <f t="shared" si="1"/>
        <v/>
      </c>
      <c r="J59" s="9">
        <f t="shared" si="2"/>
        <v>0</v>
      </c>
      <c r="K59" s="9">
        <v>0.5</v>
      </c>
      <c r="L59" s="12">
        <f t="shared" si="3"/>
        <v>0</v>
      </c>
      <c r="M59" s="12">
        <v>40.0</v>
      </c>
      <c r="N59" s="13">
        <v>0.2</v>
      </c>
      <c r="O59" s="14">
        <f t="shared" si="4"/>
        <v>0</v>
      </c>
      <c r="P59" s="14">
        <f t="shared" si="5"/>
        <v>0</v>
      </c>
    </row>
    <row r="60" ht="15.75" customHeight="1">
      <c r="A60" s="8" t="s">
        <v>31</v>
      </c>
      <c r="B60" s="9" t="s">
        <v>20</v>
      </c>
      <c r="C60" s="9" t="s">
        <v>84</v>
      </c>
      <c r="D60" s="9" t="s">
        <v>94</v>
      </c>
      <c r="E60" s="10" t="s">
        <v>23</v>
      </c>
      <c r="F60" s="8" t="s">
        <v>24</v>
      </c>
      <c r="G60" s="11"/>
      <c r="H60" s="8"/>
      <c r="I60" s="8">
        <f t="shared" si="1"/>
        <v>1</v>
      </c>
      <c r="J60" s="9">
        <f t="shared" si="2"/>
        <v>0</v>
      </c>
      <c r="K60" s="9">
        <v>4.0</v>
      </c>
      <c r="L60" s="12">
        <f t="shared" si="3"/>
        <v>0</v>
      </c>
      <c r="M60" s="12">
        <v>40.0</v>
      </c>
      <c r="N60" s="13">
        <v>0.2</v>
      </c>
      <c r="O60" s="14">
        <f t="shared" si="4"/>
        <v>0</v>
      </c>
      <c r="P60" s="14">
        <f t="shared" si="5"/>
        <v>0</v>
      </c>
    </row>
    <row r="61" ht="15.75" customHeight="1">
      <c r="A61" s="8" t="s">
        <v>95</v>
      </c>
      <c r="B61" s="9" t="s">
        <v>20</v>
      </c>
      <c r="C61" s="9" t="s">
        <v>96</v>
      </c>
      <c r="D61" s="9" t="s">
        <v>97</v>
      </c>
      <c r="E61" s="10" t="s">
        <v>23</v>
      </c>
      <c r="F61" s="8" t="s">
        <v>24</v>
      </c>
      <c r="G61" s="11"/>
      <c r="H61" s="8"/>
      <c r="I61" s="8">
        <f t="shared" si="1"/>
        <v>1</v>
      </c>
      <c r="J61" s="9">
        <f t="shared" si="2"/>
        <v>0</v>
      </c>
      <c r="K61" s="9">
        <v>2.0</v>
      </c>
      <c r="L61" s="12">
        <f t="shared" si="3"/>
        <v>0</v>
      </c>
      <c r="M61" s="12">
        <v>40.0</v>
      </c>
      <c r="N61" s="13">
        <v>0.2</v>
      </c>
      <c r="O61" s="14">
        <f t="shared" si="4"/>
        <v>0</v>
      </c>
      <c r="P61" s="14">
        <f t="shared" si="5"/>
        <v>0</v>
      </c>
    </row>
    <row r="62" ht="15.75" customHeight="1">
      <c r="A62" s="8" t="s">
        <v>31</v>
      </c>
      <c r="B62" s="9" t="s">
        <v>20</v>
      </c>
      <c r="C62" s="9" t="s">
        <v>96</v>
      </c>
      <c r="D62" s="9" t="s">
        <v>98</v>
      </c>
      <c r="E62" s="10" t="s">
        <v>23</v>
      </c>
      <c r="F62" s="8" t="s">
        <v>26</v>
      </c>
      <c r="G62" s="11" t="s">
        <v>99</v>
      </c>
      <c r="H62" s="8"/>
      <c r="I62" s="8" t="str">
        <f t="shared" si="1"/>
        <v/>
      </c>
      <c r="J62" s="9">
        <f t="shared" si="2"/>
        <v>0</v>
      </c>
      <c r="K62" s="9">
        <v>0.75</v>
      </c>
      <c r="L62" s="12">
        <f t="shared" si="3"/>
        <v>0</v>
      </c>
      <c r="M62" s="12">
        <v>40.0</v>
      </c>
      <c r="N62" s="13">
        <v>0.2</v>
      </c>
      <c r="O62" s="14">
        <f t="shared" si="4"/>
        <v>0</v>
      </c>
      <c r="P62" s="14">
        <f t="shared" si="5"/>
        <v>0</v>
      </c>
    </row>
    <row r="63" ht="15.75" customHeight="1">
      <c r="A63" s="8" t="s">
        <v>19</v>
      </c>
      <c r="B63" s="9" t="s">
        <v>100</v>
      </c>
      <c r="C63" s="9" t="s">
        <v>101</v>
      </c>
      <c r="D63" s="9" t="s">
        <v>102</v>
      </c>
      <c r="E63" s="10" t="s">
        <v>23</v>
      </c>
      <c r="F63" s="8" t="s">
        <v>24</v>
      </c>
      <c r="G63" s="11"/>
      <c r="H63" s="8"/>
      <c r="I63" s="8">
        <f t="shared" si="1"/>
        <v>1</v>
      </c>
      <c r="J63" s="9">
        <f t="shared" si="2"/>
        <v>0</v>
      </c>
      <c r="K63" s="9">
        <v>2.0</v>
      </c>
      <c r="L63" s="12">
        <f t="shared" si="3"/>
        <v>0</v>
      </c>
      <c r="M63" s="12">
        <v>40.0</v>
      </c>
      <c r="N63" s="13">
        <v>0.2</v>
      </c>
      <c r="O63" s="14">
        <f t="shared" si="4"/>
        <v>0</v>
      </c>
      <c r="P63" s="14">
        <f t="shared" si="5"/>
        <v>0</v>
      </c>
    </row>
    <row r="64" ht="15.75" customHeight="1">
      <c r="A64" s="8" t="s">
        <v>19</v>
      </c>
      <c r="B64" s="9" t="s">
        <v>100</v>
      </c>
      <c r="C64" s="9" t="s">
        <v>101</v>
      </c>
      <c r="D64" s="9" t="s">
        <v>103</v>
      </c>
      <c r="E64" s="10" t="s">
        <v>23</v>
      </c>
      <c r="F64" s="8" t="s">
        <v>24</v>
      </c>
      <c r="G64" s="11"/>
      <c r="H64" s="8"/>
      <c r="I64" s="8">
        <f t="shared" si="1"/>
        <v>1</v>
      </c>
      <c r="J64" s="9">
        <f t="shared" si="2"/>
        <v>0</v>
      </c>
      <c r="K64" s="9">
        <v>1.0</v>
      </c>
      <c r="L64" s="12">
        <f t="shared" si="3"/>
        <v>0</v>
      </c>
      <c r="M64" s="12">
        <v>40.0</v>
      </c>
      <c r="N64" s="13">
        <v>0.2</v>
      </c>
      <c r="O64" s="14">
        <f t="shared" si="4"/>
        <v>0</v>
      </c>
      <c r="P64" s="14">
        <f t="shared" si="5"/>
        <v>0</v>
      </c>
    </row>
    <row r="65" ht="15.75" customHeight="1">
      <c r="A65" s="8" t="s">
        <v>19</v>
      </c>
      <c r="B65" s="9" t="s">
        <v>100</v>
      </c>
      <c r="C65" s="9" t="s">
        <v>101</v>
      </c>
      <c r="D65" s="9" t="s">
        <v>104</v>
      </c>
      <c r="E65" s="10" t="s">
        <v>23</v>
      </c>
      <c r="F65" s="8" t="s">
        <v>24</v>
      </c>
      <c r="G65" s="11"/>
      <c r="H65" s="8"/>
      <c r="I65" s="8">
        <f t="shared" si="1"/>
        <v>1</v>
      </c>
      <c r="J65" s="9">
        <f t="shared" si="2"/>
        <v>0</v>
      </c>
      <c r="K65" s="9">
        <v>8.0</v>
      </c>
      <c r="L65" s="12">
        <f t="shared" si="3"/>
        <v>0</v>
      </c>
      <c r="M65" s="12">
        <v>40.0</v>
      </c>
      <c r="N65" s="13">
        <v>0.2</v>
      </c>
      <c r="O65" s="14">
        <f t="shared" si="4"/>
        <v>0</v>
      </c>
      <c r="P65" s="14">
        <f t="shared" si="5"/>
        <v>0</v>
      </c>
    </row>
    <row r="66" ht="15.75" customHeight="1">
      <c r="A66" s="8" t="s">
        <v>19</v>
      </c>
      <c r="B66" s="9" t="s">
        <v>100</v>
      </c>
      <c r="C66" s="9" t="s">
        <v>101</v>
      </c>
      <c r="D66" s="9" t="s">
        <v>105</v>
      </c>
      <c r="E66" s="10" t="s">
        <v>23</v>
      </c>
      <c r="F66" s="8" t="s">
        <v>24</v>
      </c>
      <c r="G66" s="11"/>
      <c r="H66" s="8"/>
      <c r="I66" s="8">
        <f t="shared" si="1"/>
        <v>1</v>
      </c>
      <c r="J66" s="9">
        <f t="shared" si="2"/>
        <v>0</v>
      </c>
      <c r="K66" s="9">
        <v>2.0</v>
      </c>
      <c r="L66" s="12">
        <f t="shared" si="3"/>
        <v>0</v>
      </c>
      <c r="M66" s="12">
        <v>40.0</v>
      </c>
      <c r="N66" s="13">
        <v>0.2</v>
      </c>
      <c r="O66" s="14">
        <f t="shared" si="4"/>
        <v>0</v>
      </c>
      <c r="P66" s="14">
        <f t="shared" si="5"/>
        <v>0</v>
      </c>
    </row>
    <row r="67" ht="15.75" customHeight="1">
      <c r="A67" s="8" t="s">
        <v>19</v>
      </c>
      <c r="B67" s="9" t="s">
        <v>100</v>
      </c>
      <c r="C67" s="9" t="s">
        <v>101</v>
      </c>
      <c r="D67" s="9" t="s">
        <v>106</v>
      </c>
      <c r="E67" s="10" t="s">
        <v>23</v>
      </c>
      <c r="F67" s="8" t="s">
        <v>24</v>
      </c>
      <c r="G67" s="11"/>
      <c r="H67" s="8"/>
      <c r="I67" s="8">
        <f t="shared" si="1"/>
        <v>1</v>
      </c>
      <c r="J67" s="9">
        <f t="shared" si="2"/>
        <v>0</v>
      </c>
      <c r="K67" s="9">
        <v>3.0</v>
      </c>
      <c r="L67" s="12">
        <f t="shared" si="3"/>
        <v>0</v>
      </c>
      <c r="M67" s="12">
        <v>40.0</v>
      </c>
      <c r="N67" s="13">
        <v>0.2</v>
      </c>
      <c r="O67" s="14">
        <f t="shared" si="4"/>
        <v>0</v>
      </c>
      <c r="P67" s="14">
        <f t="shared" si="5"/>
        <v>0</v>
      </c>
    </row>
    <row r="68" ht="15.75" customHeight="1">
      <c r="A68" s="8" t="s">
        <v>19</v>
      </c>
      <c r="B68" s="9" t="s">
        <v>100</v>
      </c>
      <c r="C68" s="9" t="s">
        <v>101</v>
      </c>
      <c r="D68" s="9" t="s">
        <v>107</v>
      </c>
      <c r="E68" s="10" t="s">
        <v>23</v>
      </c>
      <c r="F68" s="8" t="s">
        <v>24</v>
      </c>
      <c r="G68" s="11"/>
      <c r="H68" s="8"/>
      <c r="I68" s="8">
        <f t="shared" si="1"/>
        <v>1</v>
      </c>
      <c r="J68" s="9">
        <f t="shared" si="2"/>
        <v>0</v>
      </c>
      <c r="K68" s="9">
        <v>1.0</v>
      </c>
      <c r="L68" s="12">
        <f t="shared" si="3"/>
        <v>0</v>
      </c>
      <c r="M68" s="12">
        <v>40.0</v>
      </c>
      <c r="N68" s="13">
        <v>0.2</v>
      </c>
      <c r="O68" s="14">
        <f t="shared" si="4"/>
        <v>0</v>
      </c>
      <c r="P68" s="14">
        <f t="shared" si="5"/>
        <v>0</v>
      </c>
    </row>
    <row r="69" ht="15.75" customHeight="1">
      <c r="A69" s="8" t="s">
        <v>95</v>
      </c>
      <c r="B69" s="9" t="s">
        <v>100</v>
      </c>
      <c r="C69" s="9" t="s">
        <v>108</v>
      </c>
      <c r="D69" s="9" t="s">
        <v>109</v>
      </c>
      <c r="E69" s="10" t="s">
        <v>23</v>
      </c>
      <c r="F69" s="8" t="s">
        <v>24</v>
      </c>
      <c r="G69" s="11"/>
      <c r="H69" s="8"/>
      <c r="I69" s="8">
        <f t="shared" si="1"/>
        <v>1</v>
      </c>
      <c r="J69" s="9">
        <f t="shared" si="2"/>
        <v>0</v>
      </c>
      <c r="K69" s="9">
        <v>4.0</v>
      </c>
      <c r="L69" s="12">
        <f t="shared" si="3"/>
        <v>0</v>
      </c>
      <c r="M69" s="12">
        <v>40.0</v>
      </c>
      <c r="N69" s="13">
        <v>0.2</v>
      </c>
      <c r="O69" s="14">
        <f t="shared" si="4"/>
        <v>0</v>
      </c>
      <c r="P69" s="14">
        <f t="shared" si="5"/>
        <v>0</v>
      </c>
    </row>
    <row r="70" ht="15.75" customHeight="1">
      <c r="A70" s="8" t="s">
        <v>95</v>
      </c>
      <c r="B70" s="9" t="s">
        <v>100</v>
      </c>
      <c r="C70" s="9" t="s">
        <v>108</v>
      </c>
      <c r="D70" s="9" t="s">
        <v>110</v>
      </c>
      <c r="E70" s="10" t="s">
        <v>23</v>
      </c>
      <c r="F70" s="8" t="s">
        <v>24</v>
      </c>
      <c r="G70" s="11"/>
      <c r="H70" s="8"/>
      <c r="I70" s="8">
        <f t="shared" si="1"/>
        <v>1</v>
      </c>
      <c r="J70" s="9">
        <f t="shared" si="2"/>
        <v>0</v>
      </c>
      <c r="K70" s="9">
        <v>8.0</v>
      </c>
      <c r="L70" s="12">
        <f t="shared" si="3"/>
        <v>0</v>
      </c>
      <c r="M70" s="12">
        <v>40.0</v>
      </c>
      <c r="N70" s="13">
        <v>0.2</v>
      </c>
      <c r="O70" s="14">
        <f t="shared" si="4"/>
        <v>0</v>
      </c>
      <c r="P70" s="14">
        <f t="shared" si="5"/>
        <v>0</v>
      </c>
    </row>
    <row r="71" ht="15.75" customHeight="1">
      <c r="A71" s="8" t="s">
        <v>95</v>
      </c>
      <c r="B71" s="9" t="s">
        <v>100</v>
      </c>
      <c r="C71" s="9" t="s">
        <v>108</v>
      </c>
      <c r="D71" s="9" t="s">
        <v>111</v>
      </c>
      <c r="E71" s="10" t="s">
        <v>23</v>
      </c>
      <c r="F71" s="8" t="s">
        <v>24</v>
      </c>
      <c r="G71" s="11"/>
      <c r="H71" s="8"/>
      <c r="I71" s="8">
        <f t="shared" si="1"/>
        <v>1</v>
      </c>
      <c r="J71" s="9">
        <f t="shared" si="2"/>
        <v>0</v>
      </c>
      <c r="K71" s="9">
        <v>4.0</v>
      </c>
      <c r="L71" s="12">
        <f t="shared" si="3"/>
        <v>0</v>
      </c>
      <c r="M71" s="12">
        <v>40.0</v>
      </c>
      <c r="N71" s="13">
        <v>0.2</v>
      </c>
      <c r="O71" s="14">
        <f t="shared" si="4"/>
        <v>0</v>
      </c>
      <c r="P71" s="14">
        <f t="shared" si="5"/>
        <v>0</v>
      </c>
    </row>
    <row r="72" ht="15.75" customHeight="1">
      <c r="A72" s="8" t="s">
        <v>95</v>
      </c>
      <c r="B72" s="9" t="s">
        <v>100</v>
      </c>
      <c r="C72" s="9" t="s">
        <v>108</v>
      </c>
      <c r="D72" s="9" t="s">
        <v>112</v>
      </c>
      <c r="E72" s="10" t="s">
        <v>23</v>
      </c>
      <c r="F72" s="8" t="s">
        <v>24</v>
      </c>
      <c r="G72" s="11"/>
      <c r="H72" s="8"/>
      <c r="I72" s="8">
        <f t="shared" si="1"/>
        <v>1</v>
      </c>
      <c r="J72" s="9">
        <f t="shared" si="2"/>
        <v>0</v>
      </c>
      <c r="K72" s="9">
        <v>2.0</v>
      </c>
      <c r="L72" s="12">
        <f t="shared" si="3"/>
        <v>0</v>
      </c>
      <c r="M72" s="12">
        <v>40.0</v>
      </c>
      <c r="N72" s="13">
        <v>0.2</v>
      </c>
      <c r="O72" s="14">
        <f t="shared" si="4"/>
        <v>0</v>
      </c>
      <c r="P72" s="14">
        <f t="shared" si="5"/>
        <v>0</v>
      </c>
    </row>
    <row r="73" ht="15.75" customHeight="1">
      <c r="A73" s="8" t="s">
        <v>95</v>
      </c>
      <c r="B73" s="9" t="s">
        <v>100</v>
      </c>
      <c r="C73" s="9" t="s">
        <v>108</v>
      </c>
      <c r="D73" s="9" t="s">
        <v>113</v>
      </c>
      <c r="E73" s="10" t="s">
        <v>23</v>
      </c>
      <c r="F73" s="8" t="s">
        <v>24</v>
      </c>
      <c r="G73" s="11"/>
      <c r="H73" s="8"/>
      <c r="I73" s="8">
        <f t="shared" si="1"/>
        <v>1</v>
      </c>
      <c r="J73" s="9">
        <f t="shared" si="2"/>
        <v>0</v>
      </c>
      <c r="K73" s="9">
        <v>6.0</v>
      </c>
      <c r="L73" s="12">
        <f t="shared" si="3"/>
        <v>0</v>
      </c>
      <c r="M73" s="12">
        <v>40.0</v>
      </c>
      <c r="N73" s="13">
        <v>0.2</v>
      </c>
      <c r="O73" s="14">
        <f t="shared" si="4"/>
        <v>0</v>
      </c>
      <c r="P73" s="14">
        <f t="shared" si="5"/>
        <v>0</v>
      </c>
    </row>
    <row r="74" ht="15.75" customHeight="1">
      <c r="A74" s="8" t="s">
        <v>95</v>
      </c>
      <c r="B74" s="9" t="s">
        <v>100</v>
      </c>
      <c r="C74" s="9" t="s">
        <v>108</v>
      </c>
      <c r="D74" s="9" t="s">
        <v>114</v>
      </c>
      <c r="E74" s="10" t="s">
        <v>23</v>
      </c>
      <c r="F74" s="8" t="s">
        <v>24</v>
      </c>
      <c r="G74" s="11"/>
      <c r="H74" s="8"/>
      <c r="I74" s="8">
        <f t="shared" si="1"/>
        <v>1</v>
      </c>
      <c r="J74" s="9">
        <f t="shared" si="2"/>
        <v>0</v>
      </c>
      <c r="K74" s="9">
        <v>2.0</v>
      </c>
      <c r="L74" s="12">
        <f t="shared" si="3"/>
        <v>0</v>
      </c>
      <c r="M74" s="12">
        <v>40.0</v>
      </c>
      <c r="N74" s="13">
        <v>0.2</v>
      </c>
      <c r="O74" s="14">
        <f t="shared" si="4"/>
        <v>0</v>
      </c>
      <c r="P74" s="14">
        <f t="shared" si="5"/>
        <v>0</v>
      </c>
    </row>
    <row r="75" ht="15.75" customHeight="1">
      <c r="A75" s="8" t="s">
        <v>95</v>
      </c>
      <c r="B75" s="9" t="s">
        <v>100</v>
      </c>
      <c r="C75" s="9" t="s">
        <v>108</v>
      </c>
      <c r="D75" s="9" t="s">
        <v>115</v>
      </c>
      <c r="E75" s="10" t="s">
        <v>23</v>
      </c>
      <c r="F75" s="8" t="s">
        <v>24</v>
      </c>
      <c r="G75" s="11"/>
      <c r="H75" s="8"/>
      <c r="I75" s="8">
        <f t="shared" si="1"/>
        <v>1</v>
      </c>
      <c r="J75" s="9">
        <f t="shared" si="2"/>
        <v>0</v>
      </c>
      <c r="K75" s="9">
        <v>2.5</v>
      </c>
      <c r="L75" s="12">
        <f t="shared" si="3"/>
        <v>0</v>
      </c>
      <c r="M75" s="12">
        <v>40.0</v>
      </c>
      <c r="N75" s="13">
        <v>0.2</v>
      </c>
      <c r="O75" s="14">
        <f t="shared" si="4"/>
        <v>0</v>
      </c>
      <c r="P75" s="14">
        <f t="shared" si="5"/>
        <v>0</v>
      </c>
    </row>
    <row r="76" ht="15.75" customHeight="1">
      <c r="A76" s="8" t="s">
        <v>95</v>
      </c>
      <c r="B76" s="9" t="s">
        <v>100</v>
      </c>
      <c r="C76" s="9" t="s">
        <v>108</v>
      </c>
      <c r="D76" s="9" t="s">
        <v>116</v>
      </c>
      <c r="E76" s="10" t="s">
        <v>23</v>
      </c>
      <c r="F76" s="8" t="s">
        <v>24</v>
      </c>
      <c r="G76" s="11"/>
      <c r="H76" s="8"/>
      <c r="I76" s="8">
        <f t="shared" si="1"/>
        <v>1</v>
      </c>
      <c r="J76" s="9">
        <f t="shared" si="2"/>
        <v>0</v>
      </c>
      <c r="K76" s="9">
        <v>4.0</v>
      </c>
      <c r="L76" s="12">
        <f t="shared" si="3"/>
        <v>0</v>
      </c>
      <c r="M76" s="12">
        <v>40.0</v>
      </c>
      <c r="N76" s="13">
        <v>0.2</v>
      </c>
      <c r="O76" s="14">
        <f t="shared" si="4"/>
        <v>0</v>
      </c>
      <c r="P76" s="14">
        <f t="shared" si="5"/>
        <v>0</v>
      </c>
    </row>
    <row r="77" ht="15.75" customHeight="1">
      <c r="A77" s="8" t="s">
        <v>95</v>
      </c>
      <c r="B77" s="9" t="s">
        <v>100</v>
      </c>
      <c r="C77" s="9" t="s">
        <v>108</v>
      </c>
      <c r="D77" s="9" t="s">
        <v>117</v>
      </c>
      <c r="E77" s="10" t="s">
        <v>23</v>
      </c>
      <c r="F77" s="8" t="s">
        <v>24</v>
      </c>
      <c r="G77" s="11"/>
      <c r="H77" s="8"/>
      <c r="I77" s="8">
        <f t="shared" si="1"/>
        <v>1</v>
      </c>
      <c r="J77" s="9">
        <f t="shared" si="2"/>
        <v>0</v>
      </c>
      <c r="K77" s="9">
        <v>1.0</v>
      </c>
      <c r="L77" s="12">
        <f t="shared" si="3"/>
        <v>0</v>
      </c>
      <c r="M77" s="12">
        <v>40.0</v>
      </c>
      <c r="N77" s="13">
        <v>0.2</v>
      </c>
      <c r="O77" s="14">
        <f t="shared" si="4"/>
        <v>0</v>
      </c>
      <c r="P77" s="14">
        <f t="shared" si="5"/>
        <v>0</v>
      </c>
    </row>
    <row r="78" ht="15.75" customHeight="1">
      <c r="A78" s="8" t="s">
        <v>95</v>
      </c>
      <c r="B78" s="9" t="s">
        <v>100</v>
      </c>
      <c r="C78" s="9" t="s">
        <v>108</v>
      </c>
      <c r="D78" s="9" t="s">
        <v>118</v>
      </c>
      <c r="E78" s="10" t="s">
        <v>23</v>
      </c>
      <c r="F78" s="8" t="s">
        <v>24</v>
      </c>
      <c r="G78" s="11"/>
      <c r="H78" s="8"/>
      <c r="I78" s="8">
        <f t="shared" si="1"/>
        <v>1</v>
      </c>
      <c r="J78" s="9">
        <f t="shared" si="2"/>
        <v>0</v>
      </c>
      <c r="K78" s="9">
        <v>2.0</v>
      </c>
      <c r="L78" s="12">
        <f t="shared" si="3"/>
        <v>0</v>
      </c>
      <c r="M78" s="12">
        <v>40.0</v>
      </c>
      <c r="N78" s="13">
        <v>0.2</v>
      </c>
      <c r="O78" s="14">
        <f t="shared" si="4"/>
        <v>0</v>
      </c>
      <c r="P78" s="14">
        <f t="shared" si="5"/>
        <v>0</v>
      </c>
    </row>
    <row r="79" ht="15.75" customHeight="1">
      <c r="A79" s="8" t="s">
        <v>95</v>
      </c>
      <c r="B79" s="9" t="s">
        <v>100</v>
      </c>
      <c r="C79" s="9" t="s">
        <v>108</v>
      </c>
      <c r="D79" s="9" t="s">
        <v>119</v>
      </c>
      <c r="E79" s="10" t="s">
        <v>23</v>
      </c>
      <c r="F79" s="8" t="s">
        <v>24</v>
      </c>
      <c r="G79" s="11"/>
      <c r="H79" s="8"/>
      <c r="I79" s="8">
        <f t="shared" si="1"/>
        <v>1</v>
      </c>
      <c r="J79" s="9">
        <f t="shared" si="2"/>
        <v>0</v>
      </c>
      <c r="K79" s="9">
        <v>2.0</v>
      </c>
      <c r="L79" s="12">
        <f t="shared" si="3"/>
        <v>0</v>
      </c>
      <c r="M79" s="12">
        <v>40.0</v>
      </c>
      <c r="N79" s="13">
        <v>0.2</v>
      </c>
      <c r="O79" s="14">
        <f t="shared" si="4"/>
        <v>0</v>
      </c>
      <c r="P79" s="14">
        <f t="shared" si="5"/>
        <v>0</v>
      </c>
    </row>
    <row r="80" ht="15.75" customHeight="1">
      <c r="A80" s="8" t="s">
        <v>95</v>
      </c>
      <c r="B80" s="9" t="s">
        <v>100</v>
      </c>
      <c r="C80" s="9" t="s">
        <v>108</v>
      </c>
      <c r="D80" s="9" t="s">
        <v>120</v>
      </c>
      <c r="E80" s="10" t="s">
        <v>23</v>
      </c>
      <c r="F80" s="8" t="s">
        <v>24</v>
      </c>
      <c r="G80" s="11"/>
      <c r="H80" s="8"/>
      <c r="I80" s="8">
        <f t="shared" si="1"/>
        <v>1</v>
      </c>
      <c r="J80" s="9">
        <f t="shared" si="2"/>
        <v>0</v>
      </c>
      <c r="K80" s="9">
        <v>2.0</v>
      </c>
      <c r="L80" s="12">
        <f t="shared" si="3"/>
        <v>0</v>
      </c>
      <c r="M80" s="12">
        <v>40.0</v>
      </c>
      <c r="N80" s="13">
        <v>0.2</v>
      </c>
      <c r="O80" s="14">
        <f t="shared" si="4"/>
        <v>0</v>
      </c>
      <c r="P80" s="14">
        <f t="shared" si="5"/>
        <v>0</v>
      </c>
    </row>
    <row r="81" ht="15.75" customHeight="1">
      <c r="A81" s="8" t="s">
        <v>95</v>
      </c>
      <c r="B81" s="9" t="s">
        <v>100</v>
      </c>
      <c r="C81" s="9" t="s">
        <v>108</v>
      </c>
      <c r="D81" s="9" t="s">
        <v>121</v>
      </c>
      <c r="E81" s="10" t="s">
        <v>23</v>
      </c>
      <c r="F81" s="8" t="s">
        <v>24</v>
      </c>
      <c r="G81" s="11"/>
      <c r="H81" s="8"/>
      <c r="I81" s="8">
        <f t="shared" si="1"/>
        <v>1</v>
      </c>
      <c r="J81" s="9">
        <f t="shared" si="2"/>
        <v>0</v>
      </c>
      <c r="K81" s="9">
        <v>2.5</v>
      </c>
      <c r="L81" s="12">
        <f t="shared" si="3"/>
        <v>0</v>
      </c>
      <c r="M81" s="12">
        <v>40.0</v>
      </c>
      <c r="N81" s="13">
        <v>0.2</v>
      </c>
      <c r="O81" s="14">
        <f t="shared" si="4"/>
        <v>0</v>
      </c>
      <c r="P81" s="14">
        <f t="shared" si="5"/>
        <v>0</v>
      </c>
    </row>
    <row r="82" ht="15.75" customHeight="1">
      <c r="A82" s="8" t="s">
        <v>95</v>
      </c>
      <c r="B82" s="9" t="s">
        <v>100</v>
      </c>
      <c r="C82" s="9" t="s">
        <v>108</v>
      </c>
      <c r="D82" s="9" t="s">
        <v>122</v>
      </c>
      <c r="E82" s="10" t="s">
        <v>23</v>
      </c>
      <c r="F82" s="8" t="s">
        <v>24</v>
      </c>
      <c r="G82" s="11"/>
      <c r="H82" s="8"/>
      <c r="I82" s="8">
        <f t="shared" si="1"/>
        <v>1</v>
      </c>
      <c r="J82" s="9">
        <f t="shared" si="2"/>
        <v>0</v>
      </c>
      <c r="K82" s="9">
        <v>2.0</v>
      </c>
      <c r="L82" s="12">
        <f t="shared" si="3"/>
        <v>0</v>
      </c>
      <c r="M82" s="12">
        <v>40.0</v>
      </c>
      <c r="N82" s="13">
        <v>0.2</v>
      </c>
      <c r="O82" s="14">
        <f t="shared" si="4"/>
        <v>0</v>
      </c>
      <c r="P82" s="14">
        <f t="shared" si="5"/>
        <v>0</v>
      </c>
    </row>
    <row r="83" ht="15.75" customHeight="1">
      <c r="A83" s="8" t="s">
        <v>95</v>
      </c>
      <c r="B83" s="9" t="s">
        <v>100</v>
      </c>
      <c r="C83" s="9" t="s">
        <v>108</v>
      </c>
      <c r="D83" s="9" t="s">
        <v>123</v>
      </c>
      <c r="E83" s="10" t="s">
        <v>23</v>
      </c>
      <c r="F83" s="8" t="s">
        <v>24</v>
      </c>
      <c r="G83" s="11"/>
      <c r="H83" s="8"/>
      <c r="I83" s="8">
        <f t="shared" si="1"/>
        <v>1</v>
      </c>
      <c r="J83" s="9">
        <f t="shared" si="2"/>
        <v>0</v>
      </c>
      <c r="K83" s="9">
        <v>6.0</v>
      </c>
      <c r="L83" s="12">
        <f t="shared" si="3"/>
        <v>0</v>
      </c>
      <c r="M83" s="12">
        <v>40.0</v>
      </c>
      <c r="N83" s="13">
        <v>0.2</v>
      </c>
      <c r="O83" s="14">
        <f t="shared" si="4"/>
        <v>0</v>
      </c>
      <c r="P83" s="14">
        <f t="shared" si="5"/>
        <v>0</v>
      </c>
    </row>
    <row r="84" ht="15.75" customHeight="1">
      <c r="A84" s="8" t="s">
        <v>95</v>
      </c>
      <c r="B84" s="9" t="s">
        <v>100</v>
      </c>
      <c r="C84" s="9" t="s">
        <v>108</v>
      </c>
      <c r="D84" s="9" t="s">
        <v>124</v>
      </c>
      <c r="E84" s="10" t="s">
        <v>23</v>
      </c>
      <c r="F84" s="8" t="s">
        <v>24</v>
      </c>
      <c r="G84" s="11"/>
      <c r="H84" s="8"/>
      <c r="I84" s="8">
        <f t="shared" si="1"/>
        <v>1</v>
      </c>
      <c r="J84" s="9">
        <f t="shared" si="2"/>
        <v>0</v>
      </c>
      <c r="K84" s="9">
        <v>2.0</v>
      </c>
      <c r="L84" s="12">
        <f t="shared" si="3"/>
        <v>0</v>
      </c>
      <c r="M84" s="12">
        <v>40.0</v>
      </c>
      <c r="N84" s="13">
        <v>0.2</v>
      </c>
      <c r="O84" s="14">
        <f t="shared" si="4"/>
        <v>0</v>
      </c>
      <c r="P84" s="14">
        <f t="shared" si="5"/>
        <v>0</v>
      </c>
    </row>
    <row r="85" ht="15.75" customHeight="1">
      <c r="A85" s="8" t="s">
        <v>95</v>
      </c>
      <c r="B85" s="9" t="s">
        <v>100</v>
      </c>
      <c r="C85" s="9" t="s">
        <v>108</v>
      </c>
      <c r="D85" s="9" t="s">
        <v>125</v>
      </c>
      <c r="E85" s="10" t="s">
        <v>23</v>
      </c>
      <c r="F85" s="8" t="s">
        <v>24</v>
      </c>
      <c r="G85" s="11"/>
      <c r="H85" s="8"/>
      <c r="I85" s="8">
        <f t="shared" si="1"/>
        <v>1</v>
      </c>
      <c r="J85" s="9">
        <f t="shared" si="2"/>
        <v>0</v>
      </c>
      <c r="K85" s="9">
        <v>1.5</v>
      </c>
      <c r="L85" s="12">
        <f t="shared" si="3"/>
        <v>0</v>
      </c>
      <c r="M85" s="12">
        <v>40.0</v>
      </c>
      <c r="N85" s="13">
        <v>0.2</v>
      </c>
      <c r="O85" s="14">
        <f t="shared" si="4"/>
        <v>0</v>
      </c>
      <c r="P85" s="14">
        <f t="shared" si="5"/>
        <v>0</v>
      </c>
    </row>
    <row r="86" ht="15.75" customHeight="1">
      <c r="A86" s="8" t="s">
        <v>95</v>
      </c>
      <c r="B86" s="9" t="s">
        <v>100</v>
      </c>
      <c r="C86" s="9" t="s">
        <v>108</v>
      </c>
      <c r="D86" s="9" t="s">
        <v>126</v>
      </c>
      <c r="E86" s="10" t="s">
        <v>23</v>
      </c>
      <c r="F86" s="8" t="s">
        <v>24</v>
      </c>
      <c r="G86" s="11"/>
      <c r="H86" s="8"/>
      <c r="I86" s="8">
        <f t="shared" si="1"/>
        <v>1</v>
      </c>
      <c r="J86" s="9">
        <f t="shared" si="2"/>
        <v>0</v>
      </c>
      <c r="K86" s="9">
        <v>4.0</v>
      </c>
      <c r="L86" s="12">
        <f t="shared" si="3"/>
        <v>0</v>
      </c>
      <c r="M86" s="12">
        <v>40.0</v>
      </c>
      <c r="N86" s="13">
        <v>0.2</v>
      </c>
      <c r="O86" s="14">
        <f t="shared" si="4"/>
        <v>0</v>
      </c>
      <c r="P86" s="14">
        <f t="shared" si="5"/>
        <v>0</v>
      </c>
    </row>
    <row r="87" ht="15.75" customHeight="1">
      <c r="A87" s="8" t="s">
        <v>95</v>
      </c>
      <c r="B87" s="9" t="s">
        <v>100</v>
      </c>
      <c r="C87" s="9" t="s">
        <v>108</v>
      </c>
      <c r="D87" s="9" t="s">
        <v>127</v>
      </c>
      <c r="E87" s="10" t="s">
        <v>23</v>
      </c>
      <c r="F87" s="8" t="s">
        <v>24</v>
      </c>
      <c r="G87" s="11"/>
      <c r="H87" s="8"/>
      <c r="I87" s="8">
        <f t="shared" si="1"/>
        <v>1</v>
      </c>
      <c r="J87" s="9">
        <f t="shared" si="2"/>
        <v>0</v>
      </c>
      <c r="K87" s="9">
        <v>3.0</v>
      </c>
      <c r="L87" s="12">
        <f t="shared" si="3"/>
        <v>0</v>
      </c>
      <c r="M87" s="12">
        <v>40.0</v>
      </c>
      <c r="N87" s="13">
        <v>0.2</v>
      </c>
      <c r="O87" s="14">
        <f t="shared" si="4"/>
        <v>0</v>
      </c>
      <c r="P87" s="14">
        <f t="shared" si="5"/>
        <v>0</v>
      </c>
    </row>
    <row r="88" ht="15.75" customHeight="1">
      <c r="A88" s="8" t="s">
        <v>95</v>
      </c>
      <c r="B88" s="9" t="s">
        <v>100</v>
      </c>
      <c r="C88" s="9" t="s">
        <v>108</v>
      </c>
      <c r="D88" s="9" t="s">
        <v>128</v>
      </c>
      <c r="E88" s="10" t="s">
        <v>23</v>
      </c>
      <c r="F88" s="8" t="s">
        <v>24</v>
      </c>
      <c r="G88" s="11"/>
      <c r="H88" s="8"/>
      <c r="I88" s="8">
        <f t="shared" si="1"/>
        <v>1</v>
      </c>
      <c r="J88" s="9">
        <f t="shared" si="2"/>
        <v>0</v>
      </c>
      <c r="K88" s="9">
        <v>3.0</v>
      </c>
      <c r="L88" s="12">
        <f t="shared" si="3"/>
        <v>0</v>
      </c>
      <c r="M88" s="12">
        <v>40.0</v>
      </c>
      <c r="N88" s="13">
        <v>0.2</v>
      </c>
      <c r="O88" s="14">
        <f t="shared" si="4"/>
        <v>0</v>
      </c>
      <c r="P88" s="14">
        <f t="shared" si="5"/>
        <v>0</v>
      </c>
    </row>
    <row r="89" ht="15.75" customHeight="1">
      <c r="A89" s="8" t="s">
        <v>95</v>
      </c>
      <c r="B89" s="9" t="s">
        <v>100</v>
      </c>
      <c r="C89" s="9" t="s">
        <v>108</v>
      </c>
      <c r="D89" s="9" t="s">
        <v>129</v>
      </c>
      <c r="E89" s="10" t="s">
        <v>23</v>
      </c>
      <c r="F89" s="8" t="s">
        <v>24</v>
      </c>
      <c r="G89" s="11"/>
      <c r="H89" s="8"/>
      <c r="I89" s="8">
        <f t="shared" si="1"/>
        <v>1</v>
      </c>
      <c r="J89" s="9">
        <f t="shared" si="2"/>
        <v>0</v>
      </c>
      <c r="K89" s="9">
        <v>4.0</v>
      </c>
      <c r="L89" s="12">
        <f t="shared" si="3"/>
        <v>0</v>
      </c>
      <c r="M89" s="12">
        <v>40.0</v>
      </c>
      <c r="N89" s="13">
        <v>0.2</v>
      </c>
      <c r="O89" s="14">
        <f t="shared" si="4"/>
        <v>0</v>
      </c>
      <c r="P89" s="14">
        <f t="shared" si="5"/>
        <v>0</v>
      </c>
    </row>
    <row r="90" ht="15.75" customHeight="1">
      <c r="A90" s="8" t="s">
        <v>95</v>
      </c>
      <c r="B90" s="9" t="s">
        <v>100</v>
      </c>
      <c r="C90" s="9" t="s">
        <v>108</v>
      </c>
      <c r="D90" s="9" t="s">
        <v>130</v>
      </c>
      <c r="E90" s="10" t="s">
        <v>23</v>
      </c>
      <c r="F90" s="8" t="s">
        <v>24</v>
      </c>
      <c r="G90" s="11"/>
      <c r="H90" s="8"/>
      <c r="I90" s="8">
        <f t="shared" si="1"/>
        <v>1</v>
      </c>
      <c r="J90" s="9">
        <f t="shared" si="2"/>
        <v>0</v>
      </c>
      <c r="K90" s="9">
        <v>1.0</v>
      </c>
      <c r="L90" s="12">
        <f t="shared" si="3"/>
        <v>0</v>
      </c>
      <c r="M90" s="12">
        <v>40.0</v>
      </c>
      <c r="N90" s="13">
        <v>0.2</v>
      </c>
      <c r="O90" s="14">
        <f t="shared" si="4"/>
        <v>0</v>
      </c>
      <c r="P90" s="14">
        <f t="shared" si="5"/>
        <v>0</v>
      </c>
    </row>
    <row r="91" ht="15.75" customHeight="1">
      <c r="A91" s="8" t="s">
        <v>95</v>
      </c>
      <c r="B91" s="9" t="s">
        <v>100</v>
      </c>
      <c r="C91" s="9" t="s">
        <v>108</v>
      </c>
      <c r="D91" s="9" t="s">
        <v>131</v>
      </c>
      <c r="E91" s="10" t="s">
        <v>23</v>
      </c>
      <c r="F91" s="8" t="s">
        <v>24</v>
      </c>
      <c r="G91" s="11"/>
      <c r="H91" s="8"/>
      <c r="I91" s="8">
        <f t="shared" si="1"/>
        <v>1</v>
      </c>
      <c r="J91" s="9">
        <f t="shared" si="2"/>
        <v>0</v>
      </c>
      <c r="K91" s="9">
        <v>4.0</v>
      </c>
      <c r="L91" s="12">
        <f t="shared" si="3"/>
        <v>0</v>
      </c>
      <c r="M91" s="12">
        <v>40.0</v>
      </c>
      <c r="N91" s="13">
        <v>0.2</v>
      </c>
      <c r="O91" s="14">
        <f t="shared" si="4"/>
        <v>0</v>
      </c>
      <c r="P91" s="14">
        <f t="shared" si="5"/>
        <v>0</v>
      </c>
    </row>
    <row r="92" ht="15.75" customHeight="1">
      <c r="A92" s="8" t="s">
        <v>95</v>
      </c>
      <c r="B92" s="9" t="s">
        <v>100</v>
      </c>
      <c r="C92" s="9" t="s">
        <v>108</v>
      </c>
      <c r="D92" s="9" t="s">
        <v>132</v>
      </c>
      <c r="E92" s="10" t="s">
        <v>23</v>
      </c>
      <c r="F92" s="8" t="s">
        <v>24</v>
      </c>
      <c r="G92" s="11"/>
      <c r="H92" s="8"/>
      <c r="I92" s="8">
        <f t="shared" si="1"/>
        <v>1</v>
      </c>
      <c r="J92" s="9">
        <f t="shared" si="2"/>
        <v>0</v>
      </c>
      <c r="K92" s="9">
        <v>4.0</v>
      </c>
      <c r="L92" s="12">
        <f t="shared" si="3"/>
        <v>0</v>
      </c>
      <c r="M92" s="12">
        <v>40.0</v>
      </c>
      <c r="N92" s="13">
        <v>0.2</v>
      </c>
      <c r="O92" s="14">
        <f t="shared" si="4"/>
        <v>0</v>
      </c>
      <c r="P92" s="14">
        <f t="shared" si="5"/>
        <v>0</v>
      </c>
    </row>
    <row r="93" ht="15.75" customHeight="1">
      <c r="A93" s="8" t="s">
        <v>95</v>
      </c>
      <c r="B93" s="9" t="s">
        <v>100</v>
      </c>
      <c r="C93" s="9" t="s">
        <v>108</v>
      </c>
      <c r="D93" s="9" t="s">
        <v>133</v>
      </c>
      <c r="E93" s="10" t="s">
        <v>23</v>
      </c>
      <c r="F93" s="8" t="s">
        <v>24</v>
      </c>
      <c r="G93" s="11"/>
      <c r="H93" s="8"/>
      <c r="I93" s="8">
        <f t="shared" si="1"/>
        <v>1</v>
      </c>
      <c r="J93" s="9">
        <f t="shared" si="2"/>
        <v>0</v>
      </c>
      <c r="K93" s="9">
        <v>1.0</v>
      </c>
      <c r="L93" s="12">
        <f t="shared" si="3"/>
        <v>0</v>
      </c>
      <c r="M93" s="12">
        <v>40.0</v>
      </c>
      <c r="N93" s="13">
        <v>0.2</v>
      </c>
      <c r="O93" s="14">
        <f t="shared" si="4"/>
        <v>0</v>
      </c>
      <c r="P93" s="14">
        <f t="shared" si="5"/>
        <v>0</v>
      </c>
    </row>
    <row r="94" ht="15.75" customHeight="1">
      <c r="A94" s="8" t="s">
        <v>95</v>
      </c>
      <c r="B94" s="9" t="s">
        <v>100</v>
      </c>
      <c r="C94" s="9" t="s">
        <v>134</v>
      </c>
      <c r="D94" s="9" t="s">
        <v>135</v>
      </c>
      <c r="E94" s="10" t="s">
        <v>23</v>
      </c>
      <c r="F94" s="8" t="s">
        <v>24</v>
      </c>
      <c r="G94" s="11"/>
      <c r="H94" s="8"/>
      <c r="I94" s="8">
        <f t="shared" si="1"/>
        <v>1</v>
      </c>
      <c r="J94" s="9">
        <f t="shared" si="2"/>
        <v>0</v>
      </c>
      <c r="K94" s="9">
        <v>16.0</v>
      </c>
      <c r="L94" s="12">
        <f t="shared" si="3"/>
        <v>0</v>
      </c>
      <c r="M94" s="12">
        <v>40.0</v>
      </c>
      <c r="N94" s="13">
        <v>0.2</v>
      </c>
      <c r="O94" s="14">
        <f t="shared" si="4"/>
        <v>0</v>
      </c>
      <c r="P94" s="14">
        <f t="shared" si="5"/>
        <v>0</v>
      </c>
    </row>
    <row r="95" ht="15.75" customHeight="1">
      <c r="A95" s="8" t="s">
        <v>95</v>
      </c>
      <c r="B95" s="9" t="s">
        <v>100</v>
      </c>
      <c r="C95" s="9" t="s">
        <v>134</v>
      </c>
      <c r="D95" s="9" t="s">
        <v>136</v>
      </c>
      <c r="E95" s="10" t="s">
        <v>23</v>
      </c>
      <c r="F95" s="8" t="s">
        <v>24</v>
      </c>
      <c r="G95" s="11"/>
      <c r="H95" s="8"/>
      <c r="I95" s="8">
        <f t="shared" si="1"/>
        <v>1</v>
      </c>
      <c r="J95" s="9">
        <f t="shared" si="2"/>
        <v>0</v>
      </c>
      <c r="K95" s="9">
        <v>8.0</v>
      </c>
      <c r="L95" s="12">
        <f t="shared" si="3"/>
        <v>0</v>
      </c>
      <c r="M95" s="12">
        <v>40.0</v>
      </c>
      <c r="N95" s="13">
        <v>0.2</v>
      </c>
      <c r="O95" s="14">
        <f t="shared" si="4"/>
        <v>0</v>
      </c>
      <c r="P95" s="14">
        <f t="shared" si="5"/>
        <v>0</v>
      </c>
    </row>
    <row r="96" ht="15.75" customHeight="1">
      <c r="A96" s="8" t="s">
        <v>95</v>
      </c>
      <c r="B96" s="9" t="s">
        <v>100</v>
      </c>
      <c r="C96" s="9" t="s">
        <v>134</v>
      </c>
      <c r="D96" s="9" t="s">
        <v>137</v>
      </c>
      <c r="E96" s="10" t="s">
        <v>23</v>
      </c>
      <c r="F96" s="8" t="s">
        <v>24</v>
      </c>
      <c r="G96" s="11"/>
      <c r="H96" s="8"/>
      <c r="I96" s="8">
        <f t="shared" si="1"/>
        <v>1</v>
      </c>
      <c r="J96" s="9">
        <f t="shared" si="2"/>
        <v>0</v>
      </c>
      <c r="K96" s="9">
        <v>5.0</v>
      </c>
      <c r="L96" s="12">
        <f t="shared" si="3"/>
        <v>0</v>
      </c>
      <c r="M96" s="12">
        <v>40.0</v>
      </c>
      <c r="N96" s="13">
        <v>0.2</v>
      </c>
      <c r="O96" s="14">
        <f t="shared" si="4"/>
        <v>0</v>
      </c>
      <c r="P96" s="14">
        <f t="shared" si="5"/>
        <v>0</v>
      </c>
    </row>
    <row r="97" ht="15.75" customHeight="1">
      <c r="A97" s="8" t="s">
        <v>95</v>
      </c>
      <c r="B97" s="9" t="s">
        <v>100</v>
      </c>
      <c r="C97" s="9" t="s">
        <v>134</v>
      </c>
      <c r="D97" s="9" t="s">
        <v>138</v>
      </c>
      <c r="E97" s="10" t="s">
        <v>23</v>
      </c>
      <c r="F97" s="8" t="s">
        <v>24</v>
      </c>
      <c r="G97" s="11"/>
      <c r="H97" s="8"/>
      <c r="I97" s="8">
        <f t="shared" si="1"/>
        <v>1</v>
      </c>
      <c r="J97" s="9">
        <f t="shared" si="2"/>
        <v>0</v>
      </c>
      <c r="K97" s="9">
        <v>5.0</v>
      </c>
      <c r="L97" s="12">
        <f t="shared" si="3"/>
        <v>0</v>
      </c>
      <c r="M97" s="12">
        <v>40.0</v>
      </c>
      <c r="N97" s="13">
        <v>0.2</v>
      </c>
      <c r="O97" s="14">
        <f t="shared" si="4"/>
        <v>0</v>
      </c>
      <c r="P97" s="14">
        <f t="shared" si="5"/>
        <v>0</v>
      </c>
    </row>
    <row r="98" ht="15.75" customHeight="1">
      <c r="A98" s="8" t="s">
        <v>95</v>
      </c>
      <c r="B98" s="9" t="s">
        <v>100</v>
      </c>
      <c r="C98" s="9" t="s">
        <v>134</v>
      </c>
      <c r="D98" s="9" t="s">
        <v>139</v>
      </c>
      <c r="E98" s="10" t="s">
        <v>23</v>
      </c>
      <c r="F98" s="8" t="s">
        <v>24</v>
      </c>
      <c r="G98" s="11"/>
      <c r="H98" s="8"/>
      <c r="I98" s="8">
        <f t="shared" si="1"/>
        <v>1</v>
      </c>
      <c r="J98" s="9">
        <f t="shared" si="2"/>
        <v>0</v>
      </c>
      <c r="K98" s="9">
        <v>6.0</v>
      </c>
      <c r="L98" s="12">
        <f t="shared" si="3"/>
        <v>0</v>
      </c>
      <c r="M98" s="12">
        <v>40.0</v>
      </c>
      <c r="N98" s="13">
        <v>0.2</v>
      </c>
      <c r="O98" s="14">
        <f t="shared" si="4"/>
        <v>0</v>
      </c>
      <c r="P98" s="14">
        <f t="shared" si="5"/>
        <v>0</v>
      </c>
    </row>
    <row r="99" ht="15.75" customHeight="1">
      <c r="A99" s="8" t="s">
        <v>95</v>
      </c>
      <c r="B99" s="9" t="s">
        <v>100</v>
      </c>
      <c r="C99" s="9" t="s">
        <v>134</v>
      </c>
      <c r="D99" s="9" t="s">
        <v>140</v>
      </c>
      <c r="E99" s="10" t="s">
        <v>23</v>
      </c>
      <c r="F99" s="8" t="s">
        <v>24</v>
      </c>
      <c r="G99" s="11"/>
      <c r="H99" s="8"/>
      <c r="I99" s="8">
        <f t="shared" si="1"/>
        <v>1</v>
      </c>
      <c r="J99" s="9">
        <f t="shared" si="2"/>
        <v>0</v>
      </c>
      <c r="K99" s="9">
        <v>6.0</v>
      </c>
      <c r="L99" s="12">
        <f t="shared" si="3"/>
        <v>0</v>
      </c>
      <c r="M99" s="12">
        <v>40.0</v>
      </c>
      <c r="N99" s="13">
        <v>0.2</v>
      </c>
      <c r="O99" s="14">
        <f t="shared" si="4"/>
        <v>0</v>
      </c>
      <c r="P99" s="14">
        <f t="shared" si="5"/>
        <v>0</v>
      </c>
    </row>
    <row r="100" ht="15.75" customHeight="1">
      <c r="A100" s="8" t="s">
        <v>95</v>
      </c>
      <c r="B100" s="9" t="s">
        <v>100</v>
      </c>
      <c r="C100" s="9" t="s">
        <v>134</v>
      </c>
      <c r="D100" s="9" t="s">
        <v>141</v>
      </c>
      <c r="E100" s="10" t="s">
        <v>23</v>
      </c>
      <c r="F100" s="8" t="s">
        <v>24</v>
      </c>
      <c r="G100" s="11"/>
      <c r="H100" s="8"/>
      <c r="I100" s="8">
        <f t="shared" si="1"/>
        <v>1</v>
      </c>
      <c r="J100" s="9">
        <f t="shared" si="2"/>
        <v>0</v>
      </c>
      <c r="K100" s="9">
        <v>5.0</v>
      </c>
      <c r="L100" s="12">
        <f t="shared" si="3"/>
        <v>0</v>
      </c>
      <c r="M100" s="12">
        <v>40.0</v>
      </c>
      <c r="N100" s="13">
        <v>0.2</v>
      </c>
      <c r="O100" s="14">
        <f t="shared" si="4"/>
        <v>0</v>
      </c>
      <c r="P100" s="14">
        <f t="shared" si="5"/>
        <v>0</v>
      </c>
    </row>
    <row r="101" ht="15.75" customHeight="1">
      <c r="A101" s="8" t="s">
        <v>95</v>
      </c>
      <c r="B101" s="9" t="s">
        <v>100</v>
      </c>
      <c r="C101" s="9" t="s">
        <v>134</v>
      </c>
      <c r="D101" s="9" t="s">
        <v>142</v>
      </c>
      <c r="E101" s="10" t="s">
        <v>23</v>
      </c>
      <c r="F101" s="8" t="s">
        <v>24</v>
      </c>
      <c r="G101" s="11"/>
      <c r="H101" s="8"/>
      <c r="I101" s="8">
        <f t="shared" si="1"/>
        <v>1</v>
      </c>
      <c r="J101" s="9">
        <f t="shared" si="2"/>
        <v>0</v>
      </c>
      <c r="K101" s="9">
        <v>5.0</v>
      </c>
      <c r="L101" s="12">
        <f t="shared" si="3"/>
        <v>0</v>
      </c>
      <c r="M101" s="12">
        <v>40.0</v>
      </c>
      <c r="N101" s="13">
        <v>0.2</v>
      </c>
      <c r="O101" s="14">
        <f t="shared" si="4"/>
        <v>0</v>
      </c>
      <c r="P101" s="14">
        <f t="shared" si="5"/>
        <v>0</v>
      </c>
    </row>
    <row r="102" ht="15.75" customHeight="1">
      <c r="A102" s="8" t="s">
        <v>95</v>
      </c>
      <c r="B102" s="9" t="s">
        <v>100</v>
      </c>
      <c r="C102" s="9" t="s">
        <v>134</v>
      </c>
      <c r="D102" s="9" t="s">
        <v>143</v>
      </c>
      <c r="E102" s="10" t="s">
        <v>23</v>
      </c>
      <c r="F102" s="8" t="s">
        <v>24</v>
      </c>
      <c r="G102" s="11"/>
      <c r="H102" s="8"/>
      <c r="I102" s="8">
        <f t="shared" si="1"/>
        <v>1</v>
      </c>
      <c r="J102" s="9">
        <f t="shared" si="2"/>
        <v>0</v>
      </c>
      <c r="K102" s="9">
        <v>8.0</v>
      </c>
      <c r="L102" s="12">
        <f t="shared" si="3"/>
        <v>0</v>
      </c>
      <c r="M102" s="12">
        <v>40.0</v>
      </c>
      <c r="N102" s="13">
        <v>0.2</v>
      </c>
      <c r="O102" s="14">
        <f t="shared" si="4"/>
        <v>0</v>
      </c>
      <c r="P102" s="14">
        <f t="shared" si="5"/>
        <v>0</v>
      </c>
    </row>
    <row r="103" ht="15.75" customHeight="1">
      <c r="A103" s="8" t="s">
        <v>95</v>
      </c>
      <c r="B103" s="9" t="s">
        <v>100</v>
      </c>
      <c r="C103" s="9" t="s">
        <v>134</v>
      </c>
      <c r="D103" s="9" t="s">
        <v>144</v>
      </c>
      <c r="E103" s="10" t="s">
        <v>23</v>
      </c>
      <c r="F103" s="8" t="s">
        <v>24</v>
      </c>
      <c r="G103" s="11"/>
      <c r="H103" s="8"/>
      <c r="I103" s="8">
        <f t="shared" si="1"/>
        <v>1</v>
      </c>
      <c r="J103" s="9">
        <f t="shared" si="2"/>
        <v>0</v>
      </c>
      <c r="K103" s="9">
        <v>4.0</v>
      </c>
      <c r="L103" s="12">
        <f t="shared" si="3"/>
        <v>0</v>
      </c>
      <c r="M103" s="12">
        <v>40.0</v>
      </c>
      <c r="N103" s="13">
        <v>0.2</v>
      </c>
      <c r="O103" s="14">
        <f t="shared" si="4"/>
        <v>0</v>
      </c>
      <c r="P103" s="14">
        <f t="shared" si="5"/>
        <v>0</v>
      </c>
    </row>
    <row r="104" ht="15.75" customHeight="1">
      <c r="A104" s="8" t="s">
        <v>95</v>
      </c>
      <c r="B104" s="9" t="s">
        <v>100</v>
      </c>
      <c r="C104" s="9" t="s">
        <v>134</v>
      </c>
      <c r="D104" s="9" t="s">
        <v>145</v>
      </c>
      <c r="E104" s="10" t="s">
        <v>23</v>
      </c>
      <c r="F104" s="8" t="s">
        <v>24</v>
      </c>
      <c r="G104" s="11"/>
      <c r="H104" s="8"/>
      <c r="I104" s="8">
        <f t="shared" si="1"/>
        <v>1</v>
      </c>
      <c r="J104" s="9">
        <f t="shared" si="2"/>
        <v>0</v>
      </c>
      <c r="K104" s="9">
        <v>6.0</v>
      </c>
      <c r="L104" s="12">
        <f t="shared" si="3"/>
        <v>0</v>
      </c>
      <c r="M104" s="12">
        <v>40.0</v>
      </c>
      <c r="N104" s="13">
        <v>0.2</v>
      </c>
      <c r="O104" s="14">
        <f t="shared" si="4"/>
        <v>0</v>
      </c>
      <c r="P104" s="14">
        <f t="shared" si="5"/>
        <v>0</v>
      </c>
    </row>
    <row r="105" ht="15.75" customHeight="1">
      <c r="A105" s="8" t="s">
        <v>95</v>
      </c>
      <c r="B105" s="9" t="s">
        <v>100</v>
      </c>
      <c r="C105" s="9" t="s">
        <v>134</v>
      </c>
      <c r="D105" s="9" t="s">
        <v>146</v>
      </c>
      <c r="E105" s="10" t="s">
        <v>23</v>
      </c>
      <c r="F105" s="8" t="s">
        <v>24</v>
      </c>
      <c r="G105" s="11"/>
      <c r="H105" s="8"/>
      <c r="I105" s="8">
        <f t="shared" si="1"/>
        <v>1</v>
      </c>
      <c r="J105" s="9">
        <f t="shared" si="2"/>
        <v>0</v>
      </c>
      <c r="K105" s="9">
        <v>5.0</v>
      </c>
      <c r="L105" s="12">
        <f t="shared" si="3"/>
        <v>0</v>
      </c>
      <c r="M105" s="12">
        <v>40.0</v>
      </c>
      <c r="N105" s="13">
        <v>0.2</v>
      </c>
      <c r="O105" s="14">
        <f t="shared" si="4"/>
        <v>0</v>
      </c>
      <c r="P105" s="14">
        <f t="shared" si="5"/>
        <v>0</v>
      </c>
    </row>
    <row r="106" ht="15.75" customHeight="1">
      <c r="A106" s="8" t="s">
        <v>95</v>
      </c>
      <c r="B106" s="9" t="s">
        <v>100</v>
      </c>
      <c r="C106" s="9" t="s">
        <v>134</v>
      </c>
      <c r="D106" s="9" t="s">
        <v>147</v>
      </c>
      <c r="E106" s="10" t="s">
        <v>23</v>
      </c>
      <c r="F106" s="8" t="s">
        <v>24</v>
      </c>
      <c r="G106" s="11"/>
      <c r="H106" s="8"/>
      <c r="I106" s="8">
        <f t="shared" si="1"/>
        <v>1</v>
      </c>
      <c r="J106" s="9">
        <f t="shared" si="2"/>
        <v>0</v>
      </c>
      <c r="K106" s="9">
        <v>5.0</v>
      </c>
      <c r="L106" s="12">
        <f t="shared" si="3"/>
        <v>0</v>
      </c>
      <c r="M106" s="12">
        <v>40.0</v>
      </c>
      <c r="N106" s="13">
        <v>0.2</v>
      </c>
      <c r="O106" s="14">
        <f t="shared" si="4"/>
        <v>0</v>
      </c>
      <c r="P106" s="14">
        <f t="shared" si="5"/>
        <v>0</v>
      </c>
    </row>
    <row r="107" ht="15.75" customHeight="1">
      <c r="A107" s="8" t="s">
        <v>95</v>
      </c>
      <c r="B107" s="9" t="s">
        <v>100</v>
      </c>
      <c r="C107" s="9" t="s">
        <v>134</v>
      </c>
      <c r="D107" s="9" t="s">
        <v>148</v>
      </c>
      <c r="E107" s="10" t="s">
        <v>23</v>
      </c>
      <c r="F107" s="8" t="s">
        <v>24</v>
      </c>
      <c r="G107" s="11"/>
      <c r="H107" s="8"/>
      <c r="I107" s="8">
        <f t="shared" si="1"/>
        <v>1</v>
      </c>
      <c r="J107" s="9">
        <f t="shared" si="2"/>
        <v>0</v>
      </c>
      <c r="K107" s="9">
        <v>4.0</v>
      </c>
      <c r="L107" s="12">
        <f t="shared" si="3"/>
        <v>0</v>
      </c>
      <c r="M107" s="12">
        <v>40.0</v>
      </c>
      <c r="N107" s="13">
        <v>0.2</v>
      </c>
      <c r="O107" s="14">
        <f t="shared" si="4"/>
        <v>0</v>
      </c>
      <c r="P107" s="14">
        <f t="shared" si="5"/>
        <v>0</v>
      </c>
    </row>
    <row r="108" ht="15.75" customHeight="1">
      <c r="A108" s="8" t="s">
        <v>95</v>
      </c>
      <c r="B108" s="9" t="s">
        <v>100</v>
      </c>
      <c r="C108" s="9" t="s">
        <v>134</v>
      </c>
      <c r="D108" s="9" t="s">
        <v>149</v>
      </c>
      <c r="E108" s="10" t="s">
        <v>23</v>
      </c>
      <c r="F108" s="8" t="s">
        <v>24</v>
      </c>
      <c r="G108" s="11"/>
      <c r="H108" s="8"/>
      <c r="I108" s="8">
        <f t="shared" si="1"/>
        <v>1</v>
      </c>
      <c r="J108" s="9">
        <f t="shared" si="2"/>
        <v>0</v>
      </c>
      <c r="K108" s="9">
        <v>6.0</v>
      </c>
      <c r="L108" s="12">
        <f t="shared" si="3"/>
        <v>0</v>
      </c>
      <c r="M108" s="12">
        <v>40.0</v>
      </c>
      <c r="N108" s="13">
        <v>0.2</v>
      </c>
      <c r="O108" s="14">
        <f t="shared" si="4"/>
        <v>0</v>
      </c>
      <c r="P108" s="14">
        <f t="shared" si="5"/>
        <v>0</v>
      </c>
    </row>
    <row r="109" ht="15.75" customHeight="1">
      <c r="A109" s="8" t="s">
        <v>95</v>
      </c>
      <c r="B109" s="9" t="s">
        <v>100</v>
      </c>
      <c r="C109" s="9" t="s">
        <v>134</v>
      </c>
      <c r="D109" s="9" t="s">
        <v>150</v>
      </c>
      <c r="E109" s="10" t="s">
        <v>23</v>
      </c>
      <c r="F109" s="8" t="s">
        <v>24</v>
      </c>
      <c r="G109" s="11"/>
      <c r="H109" s="8"/>
      <c r="I109" s="8">
        <f t="shared" si="1"/>
        <v>1</v>
      </c>
      <c r="J109" s="9">
        <f t="shared" si="2"/>
        <v>0</v>
      </c>
      <c r="K109" s="9">
        <v>4.0</v>
      </c>
      <c r="L109" s="12">
        <f t="shared" si="3"/>
        <v>0</v>
      </c>
      <c r="M109" s="12">
        <v>40.0</v>
      </c>
      <c r="N109" s="13">
        <v>0.2</v>
      </c>
      <c r="O109" s="14">
        <f t="shared" si="4"/>
        <v>0</v>
      </c>
      <c r="P109" s="14">
        <f t="shared" si="5"/>
        <v>0</v>
      </c>
    </row>
    <row r="110" ht="15.75" customHeight="1">
      <c r="A110" s="8" t="s">
        <v>95</v>
      </c>
      <c r="B110" s="9" t="s">
        <v>100</v>
      </c>
      <c r="C110" s="9" t="s">
        <v>134</v>
      </c>
      <c r="D110" s="9" t="s">
        <v>151</v>
      </c>
      <c r="E110" s="10" t="s">
        <v>23</v>
      </c>
      <c r="F110" s="8" t="s">
        <v>24</v>
      </c>
      <c r="G110" s="11"/>
      <c r="H110" s="8"/>
      <c r="I110" s="8">
        <f t="shared" si="1"/>
        <v>1</v>
      </c>
      <c r="J110" s="9">
        <f t="shared" si="2"/>
        <v>0</v>
      </c>
      <c r="K110" s="9">
        <v>4.0</v>
      </c>
      <c r="L110" s="12">
        <f t="shared" si="3"/>
        <v>0</v>
      </c>
      <c r="M110" s="12">
        <v>40.0</v>
      </c>
      <c r="N110" s="13">
        <v>0.2</v>
      </c>
      <c r="O110" s="14">
        <f t="shared" si="4"/>
        <v>0</v>
      </c>
      <c r="P110" s="14">
        <f t="shared" si="5"/>
        <v>0</v>
      </c>
    </row>
    <row r="111" ht="15.75" customHeight="1">
      <c r="A111" s="8" t="s">
        <v>95</v>
      </c>
      <c r="B111" s="9" t="s">
        <v>100</v>
      </c>
      <c r="C111" s="9" t="s">
        <v>134</v>
      </c>
      <c r="D111" s="9" t="s">
        <v>152</v>
      </c>
      <c r="E111" s="10" t="s">
        <v>23</v>
      </c>
      <c r="F111" s="8" t="s">
        <v>24</v>
      </c>
      <c r="G111" s="11"/>
      <c r="H111" s="8"/>
      <c r="I111" s="8">
        <f t="shared" si="1"/>
        <v>1</v>
      </c>
      <c r="J111" s="9">
        <f t="shared" si="2"/>
        <v>0</v>
      </c>
      <c r="K111" s="9">
        <v>3.5</v>
      </c>
      <c r="L111" s="12">
        <f t="shared" si="3"/>
        <v>0</v>
      </c>
      <c r="M111" s="12">
        <v>40.0</v>
      </c>
      <c r="N111" s="13">
        <v>0.2</v>
      </c>
      <c r="O111" s="14">
        <f t="shared" si="4"/>
        <v>0</v>
      </c>
      <c r="P111" s="14">
        <f t="shared" si="5"/>
        <v>0</v>
      </c>
    </row>
    <row r="112" ht="15.75" customHeight="1">
      <c r="A112" s="8" t="s">
        <v>95</v>
      </c>
      <c r="B112" s="9" t="s">
        <v>100</v>
      </c>
      <c r="C112" s="9" t="s">
        <v>134</v>
      </c>
      <c r="D112" s="9" t="s">
        <v>153</v>
      </c>
      <c r="E112" s="10" t="s">
        <v>23</v>
      </c>
      <c r="F112" s="8" t="s">
        <v>24</v>
      </c>
      <c r="G112" s="11"/>
      <c r="H112" s="8"/>
      <c r="I112" s="8">
        <f t="shared" si="1"/>
        <v>1</v>
      </c>
      <c r="J112" s="9">
        <f t="shared" si="2"/>
        <v>0</v>
      </c>
      <c r="K112" s="9">
        <v>2.0</v>
      </c>
      <c r="L112" s="12">
        <f t="shared" si="3"/>
        <v>0</v>
      </c>
      <c r="M112" s="12">
        <v>40.0</v>
      </c>
      <c r="N112" s="13">
        <v>0.2</v>
      </c>
      <c r="O112" s="14">
        <f t="shared" si="4"/>
        <v>0</v>
      </c>
      <c r="P112" s="14">
        <f t="shared" si="5"/>
        <v>0</v>
      </c>
    </row>
    <row r="113" ht="15.75" customHeight="1">
      <c r="A113" s="8" t="s">
        <v>95</v>
      </c>
      <c r="B113" s="9" t="s">
        <v>100</v>
      </c>
      <c r="C113" s="9" t="s">
        <v>134</v>
      </c>
      <c r="D113" s="9" t="s">
        <v>154</v>
      </c>
      <c r="E113" s="10" t="s">
        <v>23</v>
      </c>
      <c r="F113" s="8" t="s">
        <v>24</v>
      </c>
      <c r="G113" s="11"/>
      <c r="H113" s="8"/>
      <c r="I113" s="8">
        <f t="shared" si="1"/>
        <v>1</v>
      </c>
      <c r="J113" s="9">
        <f t="shared" si="2"/>
        <v>0</v>
      </c>
      <c r="K113" s="9">
        <v>1.5</v>
      </c>
      <c r="L113" s="12">
        <f t="shared" si="3"/>
        <v>0</v>
      </c>
      <c r="M113" s="12">
        <v>40.0</v>
      </c>
      <c r="N113" s="13">
        <v>0.2</v>
      </c>
      <c r="O113" s="14">
        <f t="shared" si="4"/>
        <v>0</v>
      </c>
      <c r="P113" s="14">
        <f t="shared" si="5"/>
        <v>0</v>
      </c>
    </row>
    <row r="114" ht="15.75" customHeight="1">
      <c r="A114" s="8" t="s">
        <v>19</v>
      </c>
      <c r="B114" s="9" t="s">
        <v>100</v>
      </c>
      <c r="C114" s="9" t="s">
        <v>155</v>
      </c>
      <c r="D114" s="9" t="s">
        <v>156</v>
      </c>
      <c r="E114" s="10" t="s">
        <v>23</v>
      </c>
      <c r="F114" s="8" t="s">
        <v>24</v>
      </c>
      <c r="G114" s="11"/>
      <c r="H114" s="8"/>
      <c r="I114" s="8">
        <f t="shared" si="1"/>
        <v>1</v>
      </c>
      <c r="J114" s="9">
        <f t="shared" si="2"/>
        <v>0</v>
      </c>
      <c r="K114" s="9">
        <v>4.0</v>
      </c>
      <c r="L114" s="12">
        <f t="shared" si="3"/>
        <v>0</v>
      </c>
      <c r="M114" s="12">
        <v>40.0</v>
      </c>
      <c r="N114" s="13">
        <v>0.2</v>
      </c>
      <c r="O114" s="14">
        <f t="shared" si="4"/>
        <v>0</v>
      </c>
      <c r="P114" s="14">
        <f t="shared" si="5"/>
        <v>0</v>
      </c>
    </row>
    <row r="115" ht="15.75" customHeight="1">
      <c r="A115" s="8" t="s">
        <v>95</v>
      </c>
      <c r="B115" s="9" t="s">
        <v>100</v>
      </c>
      <c r="C115" s="9" t="s">
        <v>155</v>
      </c>
      <c r="D115" s="9" t="s">
        <v>157</v>
      </c>
      <c r="E115" s="10" t="s">
        <v>23</v>
      </c>
      <c r="F115" s="8" t="s">
        <v>26</v>
      </c>
      <c r="G115" s="11" t="s">
        <v>158</v>
      </c>
      <c r="H115" s="8"/>
      <c r="I115" s="8" t="str">
        <f t="shared" si="1"/>
        <v/>
      </c>
      <c r="J115" s="9">
        <f t="shared" si="2"/>
        <v>0</v>
      </c>
      <c r="K115" s="9">
        <v>1.5</v>
      </c>
      <c r="L115" s="12">
        <f t="shared" si="3"/>
        <v>0</v>
      </c>
      <c r="M115" s="12">
        <v>40.0</v>
      </c>
      <c r="N115" s="13">
        <v>0.2</v>
      </c>
      <c r="O115" s="14">
        <f t="shared" si="4"/>
        <v>0</v>
      </c>
      <c r="P115" s="14">
        <f t="shared" si="5"/>
        <v>0</v>
      </c>
    </row>
    <row r="116" ht="15.75" customHeight="1">
      <c r="A116" s="8" t="s">
        <v>95</v>
      </c>
      <c r="B116" s="9" t="s">
        <v>100</v>
      </c>
      <c r="C116" s="9" t="s">
        <v>155</v>
      </c>
      <c r="D116" s="9" t="s">
        <v>159</v>
      </c>
      <c r="E116" s="10" t="s">
        <v>23</v>
      </c>
      <c r="F116" s="8" t="s">
        <v>26</v>
      </c>
      <c r="G116" s="11" t="s">
        <v>158</v>
      </c>
      <c r="H116" s="8"/>
      <c r="I116" s="8" t="str">
        <f t="shared" si="1"/>
        <v/>
      </c>
      <c r="J116" s="9">
        <f t="shared" si="2"/>
        <v>0</v>
      </c>
      <c r="K116" s="9">
        <v>1.5</v>
      </c>
      <c r="L116" s="12">
        <f t="shared" si="3"/>
        <v>0</v>
      </c>
      <c r="M116" s="12">
        <v>40.0</v>
      </c>
      <c r="N116" s="13">
        <v>0.2</v>
      </c>
      <c r="O116" s="14">
        <f t="shared" si="4"/>
        <v>0</v>
      </c>
      <c r="P116" s="14">
        <f t="shared" si="5"/>
        <v>0</v>
      </c>
    </row>
    <row r="117" ht="15.75" customHeight="1">
      <c r="A117" s="8" t="s">
        <v>95</v>
      </c>
      <c r="B117" s="9" t="s">
        <v>100</v>
      </c>
      <c r="C117" s="9" t="s">
        <v>155</v>
      </c>
      <c r="D117" s="9" t="s">
        <v>160</v>
      </c>
      <c r="E117" s="10" t="s">
        <v>23</v>
      </c>
      <c r="F117" s="8" t="s">
        <v>26</v>
      </c>
      <c r="G117" s="11" t="s">
        <v>161</v>
      </c>
      <c r="H117" s="8"/>
      <c r="I117" s="8" t="str">
        <f t="shared" si="1"/>
        <v/>
      </c>
      <c r="J117" s="9">
        <f t="shared" si="2"/>
        <v>0</v>
      </c>
      <c r="K117" s="9">
        <v>6.0</v>
      </c>
      <c r="L117" s="12">
        <f t="shared" si="3"/>
        <v>0</v>
      </c>
      <c r="M117" s="12">
        <v>40.0</v>
      </c>
      <c r="N117" s="13">
        <v>0.2</v>
      </c>
      <c r="O117" s="14">
        <f t="shared" si="4"/>
        <v>0</v>
      </c>
      <c r="P117" s="14">
        <f t="shared" si="5"/>
        <v>0</v>
      </c>
    </row>
    <row r="118" ht="15.75" customHeight="1">
      <c r="A118" s="8" t="s">
        <v>95</v>
      </c>
      <c r="B118" s="9" t="s">
        <v>100</v>
      </c>
      <c r="C118" s="9" t="s">
        <v>155</v>
      </c>
      <c r="D118" s="9" t="s">
        <v>162</v>
      </c>
      <c r="E118" s="10" t="s">
        <v>23</v>
      </c>
      <c r="F118" s="8" t="s">
        <v>24</v>
      </c>
      <c r="G118" s="11"/>
      <c r="H118" s="8"/>
      <c r="I118" s="8">
        <f t="shared" si="1"/>
        <v>1</v>
      </c>
      <c r="J118" s="9">
        <f t="shared" si="2"/>
        <v>0</v>
      </c>
      <c r="K118" s="9">
        <v>3.0</v>
      </c>
      <c r="L118" s="12">
        <f t="shared" si="3"/>
        <v>0</v>
      </c>
      <c r="M118" s="12">
        <v>40.0</v>
      </c>
      <c r="N118" s="13">
        <v>0.2</v>
      </c>
      <c r="O118" s="14">
        <f t="shared" si="4"/>
        <v>0</v>
      </c>
      <c r="P118" s="14">
        <f t="shared" si="5"/>
        <v>0</v>
      </c>
    </row>
    <row r="119" ht="15.75" customHeight="1">
      <c r="A119" s="8" t="s">
        <v>95</v>
      </c>
      <c r="B119" s="9" t="s">
        <v>100</v>
      </c>
      <c r="C119" s="9" t="s">
        <v>155</v>
      </c>
      <c r="D119" s="9" t="s">
        <v>163</v>
      </c>
      <c r="E119" s="10" t="s">
        <v>23</v>
      </c>
      <c r="F119" s="8" t="s">
        <v>24</v>
      </c>
      <c r="G119" s="11"/>
      <c r="H119" s="8"/>
      <c r="I119" s="8">
        <f t="shared" si="1"/>
        <v>1</v>
      </c>
      <c r="J119" s="9">
        <f t="shared" si="2"/>
        <v>0</v>
      </c>
      <c r="K119" s="9">
        <v>1.5</v>
      </c>
      <c r="L119" s="12">
        <f t="shared" si="3"/>
        <v>0</v>
      </c>
      <c r="M119" s="12">
        <v>40.0</v>
      </c>
      <c r="N119" s="13">
        <v>0.2</v>
      </c>
      <c r="O119" s="14">
        <f t="shared" si="4"/>
        <v>0</v>
      </c>
      <c r="P119" s="14">
        <f t="shared" si="5"/>
        <v>0</v>
      </c>
    </row>
    <row r="120" ht="15.75" customHeight="1">
      <c r="A120" s="8" t="s">
        <v>19</v>
      </c>
      <c r="B120" s="9" t="s">
        <v>100</v>
      </c>
      <c r="C120" s="9" t="s">
        <v>164</v>
      </c>
      <c r="D120" s="9" t="s">
        <v>165</v>
      </c>
      <c r="E120" s="10" t="s">
        <v>23</v>
      </c>
      <c r="F120" s="8" t="s">
        <v>24</v>
      </c>
      <c r="G120" s="11"/>
      <c r="H120" s="8"/>
      <c r="I120" s="8">
        <f t="shared" si="1"/>
        <v>1</v>
      </c>
      <c r="J120" s="9">
        <f t="shared" si="2"/>
        <v>0</v>
      </c>
      <c r="K120" s="9">
        <v>4.0</v>
      </c>
      <c r="L120" s="12">
        <f t="shared" si="3"/>
        <v>0</v>
      </c>
      <c r="M120" s="12">
        <v>40.0</v>
      </c>
      <c r="N120" s="13">
        <v>0.2</v>
      </c>
      <c r="O120" s="14">
        <f t="shared" si="4"/>
        <v>0</v>
      </c>
      <c r="P120" s="14">
        <f t="shared" si="5"/>
        <v>0</v>
      </c>
    </row>
    <row r="121" ht="15.75" customHeight="1">
      <c r="A121" s="8" t="s">
        <v>95</v>
      </c>
      <c r="B121" s="9" t="s">
        <v>100</v>
      </c>
      <c r="C121" s="9" t="s">
        <v>164</v>
      </c>
      <c r="D121" s="9" t="s">
        <v>166</v>
      </c>
      <c r="E121" s="10" t="s">
        <v>23</v>
      </c>
      <c r="F121" s="8" t="s">
        <v>26</v>
      </c>
      <c r="G121" s="11" t="s">
        <v>167</v>
      </c>
      <c r="H121" s="8"/>
      <c r="I121" s="8" t="str">
        <f t="shared" si="1"/>
        <v/>
      </c>
      <c r="J121" s="9">
        <f t="shared" si="2"/>
        <v>0</v>
      </c>
      <c r="K121" s="9">
        <v>6.0</v>
      </c>
      <c r="L121" s="12">
        <f t="shared" si="3"/>
        <v>0</v>
      </c>
      <c r="M121" s="12">
        <v>40.0</v>
      </c>
      <c r="N121" s="13">
        <v>0.2</v>
      </c>
      <c r="O121" s="14">
        <f t="shared" si="4"/>
        <v>0</v>
      </c>
      <c r="P121" s="14">
        <f t="shared" si="5"/>
        <v>0</v>
      </c>
    </row>
    <row r="122" ht="15.75" customHeight="1">
      <c r="A122" s="8" t="s">
        <v>95</v>
      </c>
      <c r="B122" s="9" t="s">
        <v>100</v>
      </c>
      <c r="C122" s="9" t="s">
        <v>164</v>
      </c>
      <c r="D122" s="9" t="s">
        <v>168</v>
      </c>
      <c r="E122" s="10" t="s">
        <v>23</v>
      </c>
      <c r="F122" s="8" t="s">
        <v>26</v>
      </c>
      <c r="G122" s="11" t="s">
        <v>167</v>
      </c>
      <c r="H122" s="8"/>
      <c r="I122" s="8" t="str">
        <f t="shared" si="1"/>
        <v/>
      </c>
      <c r="J122" s="9">
        <f t="shared" si="2"/>
        <v>0</v>
      </c>
      <c r="K122" s="9">
        <v>2.0</v>
      </c>
      <c r="L122" s="12">
        <f t="shared" si="3"/>
        <v>0</v>
      </c>
      <c r="M122" s="12">
        <v>40.0</v>
      </c>
      <c r="N122" s="13">
        <v>0.2</v>
      </c>
      <c r="O122" s="14">
        <f t="shared" si="4"/>
        <v>0</v>
      </c>
      <c r="P122" s="14">
        <f t="shared" si="5"/>
        <v>0</v>
      </c>
    </row>
    <row r="123" ht="15.75" customHeight="1">
      <c r="A123" s="8" t="s">
        <v>95</v>
      </c>
      <c r="B123" s="9" t="s">
        <v>100</v>
      </c>
      <c r="C123" s="9" t="s">
        <v>164</v>
      </c>
      <c r="D123" s="9" t="s">
        <v>169</v>
      </c>
      <c r="E123" s="10" t="s">
        <v>23</v>
      </c>
      <c r="F123" s="8" t="s">
        <v>26</v>
      </c>
      <c r="G123" s="11" t="s">
        <v>170</v>
      </c>
      <c r="H123" s="8"/>
      <c r="I123" s="8" t="str">
        <f t="shared" si="1"/>
        <v/>
      </c>
      <c r="J123" s="9">
        <f t="shared" si="2"/>
        <v>0</v>
      </c>
      <c r="K123" s="9">
        <v>2.0</v>
      </c>
      <c r="L123" s="12">
        <f t="shared" si="3"/>
        <v>0</v>
      </c>
      <c r="M123" s="12">
        <v>40.0</v>
      </c>
      <c r="N123" s="13">
        <v>0.2</v>
      </c>
      <c r="O123" s="14">
        <f t="shared" si="4"/>
        <v>0</v>
      </c>
      <c r="P123" s="14">
        <f t="shared" si="5"/>
        <v>0</v>
      </c>
    </row>
    <row r="124" ht="15.75" customHeight="1">
      <c r="A124" s="8" t="s">
        <v>95</v>
      </c>
      <c r="B124" s="9" t="s">
        <v>100</v>
      </c>
      <c r="C124" s="9" t="s">
        <v>164</v>
      </c>
      <c r="D124" s="9" t="s">
        <v>171</v>
      </c>
      <c r="E124" s="10" t="s">
        <v>23</v>
      </c>
      <c r="F124" s="8" t="s">
        <v>24</v>
      </c>
      <c r="G124" s="11"/>
      <c r="H124" s="8"/>
      <c r="I124" s="8">
        <f t="shared" si="1"/>
        <v>1</v>
      </c>
      <c r="J124" s="9">
        <f t="shared" si="2"/>
        <v>0</v>
      </c>
      <c r="K124" s="9">
        <v>2.0</v>
      </c>
      <c r="L124" s="12">
        <f t="shared" si="3"/>
        <v>0</v>
      </c>
      <c r="M124" s="12">
        <v>40.0</v>
      </c>
      <c r="N124" s="13">
        <v>0.2</v>
      </c>
      <c r="O124" s="14">
        <f t="shared" si="4"/>
        <v>0</v>
      </c>
      <c r="P124" s="14">
        <f t="shared" si="5"/>
        <v>0</v>
      </c>
    </row>
    <row r="125" ht="15.75" customHeight="1">
      <c r="A125" s="8" t="s">
        <v>95</v>
      </c>
      <c r="B125" s="9" t="s">
        <v>100</v>
      </c>
      <c r="C125" s="9" t="s">
        <v>172</v>
      </c>
      <c r="D125" s="9" t="s">
        <v>173</v>
      </c>
      <c r="E125" s="10" t="s">
        <v>23</v>
      </c>
      <c r="F125" s="8" t="s">
        <v>26</v>
      </c>
      <c r="G125" s="11" t="s">
        <v>174</v>
      </c>
      <c r="H125" s="8"/>
      <c r="I125" s="8" t="str">
        <f t="shared" si="1"/>
        <v/>
      </c>
      <c r="J125" s="9">
        <f t="shared" si="2"/>
        <v>0</v>
      </c>
      <c r="K125" s="9">
        <v>1.0</v>
      </c>
      <c r="L125" s="12">
        <f t="shared" si="3"/>
        <v>0</v>
      </c>
      <c r="M125" s="12">
        <v>40.0</v>
      </c>
      <c r="N125" s="13">
        <v>0.2</v>
      </c>
      <c r="O125" s="14">
        <f t="shared" si="4"/>
        <v>0</v>
      </c>
      <c r="P125" s="14">
        <f t="shared" si="5"/>
        <v>0</v>
      </c>
    </row>
    <row r="126" ht="15.75" customHeight="1">
      <c r="A126" s="8" t="s">
        <v>95</v>
      </c>
      <c r="B126" s="9" t="s">
        <v>100</v>
      </c>
      <c r="C126" s="9" t="s">
        <v>172</v>
      </c>
      <c r="D126" s="9" t="s">
        <v>175</v>
      </c>
      <c r="E126" s="10" t="s">
        <v>23</v>
      </c>
      <c r="F126" s="8" t="s">
        <v>26</v>
      </c>
      <c r="G126" s="11" t="s">
        <v>176</v>
      </c>
      <c r="H126" s="8"/>
      <c r="I126" s="8" t="str">
        <f t="shared" si="1"/>
        <v/>
      </c>
      <c r="J126" s="9">
        <f t="shared" si="2"/>
        <v>0</v>
      </c>
      <c r="K126" s="9">
        <v>3.0</v>
      </c>
      <c r="L126" s="12">
        <f t="shared" si="3"/>
        <v>0</v>
      </c>
      <c r="M126" s="12">
        <v>40.0</v>
      </c>
      <c r="N126" s="13">
        <v>0.2</v>
      </c>
      <c r="O126" s="14">
        <f t="shared" si="4"/>
        <v>0</v>
      </c>
      <c r="P126" s="14">
        <f t="shared" si="5"/>
        <v>0</v>
      </c>
    </row>
    <row r="127" ht="15.75" customHeight="1">
      <c r="A127" s="8" t="s">
        <v>95</v>
      </c>
      <c r="B127" s="9" t="s">
        <v>100</v>
      </c>
      <c r="C127" s="9" t="s">
        <v>172</v>
      </c>
      <c r="D127" s="9" t="s">
        <v>177</v>
      </c>
      <c r="E127" s="10" t="s">
        <v>23</v>
      </c>
      <c r="F127" s="8" t="s">
        <v>26</v>
      </c>
      <c r="G127" s="11" t="s">
        <v>178</v>
      </c>
      <c r="H127" s="8"/>
      <c r="I127" s="8" t="str">
        <f t="shared" si="1"/>
        <v/>
      </c>
      <c r="J127" s="9">
        <f t="shared" si="2"/>
        <v>0</v>
      </c>
      <c r="K127" s="9">
        <v>4.0</v>
      </c>
      <c r="L127" s="12">
        <f t="shared" si="3"/>
        <v>0</v>
      </c>
      <c r="M127" s="12">
        <v>40.0</v>
      </c>
      <c r="N127" s="13">
        <v>0.2</v>
      </c>
      <c r="O127" s="14">
        <f t="shared" si="4"/>
        <v>0</v>
      </c>
      <c r="P127" s="14">
        <f t="shared" si="5"/>
        <v>0</v>
      </c>
    </row>
    <row r="128" ht="15.75" customHeight="1">
      <c r="A128" s="8" t="s">
        <v>95</v>
      </c>
      <c r="B128" s="9" t="s">
        <v>100</v>
      </c>
      <c r="C128" s="9" t="s">
        <v>172</v>
      </c>
      <c r="D128" s="9" t="s">
        <v>179</v>
      </c>
      <c r="E128" s="10" t="s">
        <v>23</v>
      </c>
      <c r="F128" s="8" t="s">
        <v>26</v>
      </c>
      <c r="G128" s="11" t="s">
        <v>180</v>
      </c>
      <c r="H128" s="8"/>
      <c r="I128" s="8" t="str">
        <f t="shared" si="1"/>
        <v/>
      </c>
      <c r="J128" s="9">
        <f t="shared" si="2"/>
        <v>0</v>
      </c>
      <c r="K128" s="9">
        <v>0.75</v>
      </c>
      <c r="L128" s="12">
        <f t="shared" si="3"/>
        <v>0</v>
      </c>
      <c r="M128" s="12">
        <v>40.0</v>
      </c>
      <c r="N128" s="13">
        <v>0.2</v>
      </c>
      <c r="O128" s="14">
        <f t="shared" si="4"/>
        <v>0</v>
      </c>
      <c r="P128" s="14">
        <f t="shared" si="5"/>
        <v>0</v>
      </c>
    </row>
    <row r="129" ht="15.75" customHeight="1">
      <c r="A129" s="8" t="s">
        <v>19</v>
      </c>
      <c r="B129" s="9" t="s">
        <v>100</v>
      </c>
      <c r="C129" s="9" t="s">
        <v>181</v>
      </c>
      <c r="D129" s="9" t="s">
        <v>182</v>
      </c>
      <c r="E129" s="10" t="s">
        <v>23</v>
      </c>
      <c r="F129" s="8" t="s">
        <v>24</v>
      </c>
      <c r="G129" s="11"/>
      <c r="H129" s="8"/>
      <c r="I129" s="8">
        <f t="shared" si="1"/>
        <v>1</v>
      </c>
      <c r="J129" s="9">
        <f t="shared" si="2"/>
        <v>0</v>
      </c>
      <c r="K129" s="9">
        <v>2.0</v>
      </c>
      <c r="L129" s="12">
        <f t="shared" si="3"/>
        <v>0</v>
      </c>
      <c r="M129" s="12">
        <v>40.0</v>
      </c>
      <c r="N129" s="13">
        <v>0.2</v>
      </c>
      <c r="O129" s="14">
        <f t="shared" si="4"/>
        <v>0</v>
      </c>
      <c r="P129" s="14">
        <f t="shared" si="5"/>
        <v>0</v>
      </c>
    </row>
    <row r="130" ht="15.75" customHeight="1">
      <c r="A130" s="8" t="s">
        <v>95</v>
      </c>
      <c r="B130" s="9" t="s">
        <v>100</v>
      </c>
      <c r="C130" s="9" t="s">
        <v>181</v>
      </c>
      <c r="D130" s="9" t="s">
        <v>183</v>
      </c>
      <c r="E130" s="10" t="s">
        <v>23</v>
      </c>
      <c r="F130" s="8" t="s">
        <v>26</v>
      </c>
      <c r="G130" s="11" t="s">
        <v>184</v>
      </c>
      <c r="H130" s="8"/>
      <c r="I130" s="8" t="str">
        <f t="shared" si="1"/>
        <v/>
      </c>
      <c r="J130" s="9">
        <f t="shared" si="2"/>
        <v>0</v>
      </c>
      <c r="K130" s="9">
        <v>0.5</v>
      </c>
      <c r="L130" s="12">
        <f t="shared" si="3"/>
        <v>0</v>
      </c>
      <c r="M130" s="12">
        <v>40.0</v>
      </c>
      <c r="N130" s="13">
        <v>0.2</v>
      </c>
      <c r="O130" s="14">
        <f t="shared" si="4"/>
        <v>0</v>
      </c>
      <c r="P130" s="14">
        <f t="shared" si="5"/>
        <v>0</v>
      </c>
    </row>
    <row r="131" ht="15.75" customHeight="1">
      <c r="A131" s="8" t="s">
        <v>95</v>
      </c>
      <c r="B131" s="9" t="s">
        <v>100</v>
      </c>
      <c r="C131" s="9" t="s">
        <v>181</v>
      </c>
      <c r="D131" s="9" t="s">
        <v>185</v>
      </c>
      <c r="E131" s="10" t="s">
        <v>23</v>
      </c>
      <c r="F131" s="8" t="s">
        <v>26</v>
      </c>
      <c r="G131" s="11" t="s">
        <v>186</v>
      </c>
      <c r="H131" s="8"/>
      <c r="I131" s="8" t="str">
        <f t="shared" si="1"/>
        <v/>
      </c>
      <c r="J131" s="9">
        <f t="shared" si="2"/>
        <v>0</v>
      </c>
      <c r="K131" s="9">
        <v>0.5</v>
      </c>
      <c r="L131" s="12">
        <f t="shared" si="3"/>
        <v>0</v>
      </c>
      <c r="M131" s="12">
        <v>40.0</v>
      </c>
      <c r="N131" s="13">
        <v>0.2</v>
      </c>
      <c r="O131" s="14">
        <f t="shared" si="4"/>
        <v>0</v>
      </c>
      <c r="P131" s="14">
        <f t="shared" si="5"/>
        <v>0</v>
      </c>
    </row>
    <row r="132" ht="15.75" customHeight="1">
      <c r="A132" s="8" t="s">
        <v>95</v>
      </c>
      <c r="B132" s="9" t="s">
        <v>100</v>
      </c>
      <c r="C132" s="9" t="s">
        <v>181</v>
      </c>
      <c r="D132" s="9" t="s">
        <v>187</v>
      </c>
      <c r="E132" s="10" t="s">
        <v>23</v>
      </c>
      <c r="F132" s="8" t="s">
        <v>26</v>
      </c>
      <c r="G132" s="11" t="s">
        <v>188</v>
      </c>
      <c r="H132" s="8"/>
      <c r="I132" s="8" t="str">
        <f t="shared" si="1"/>
        <v/>
      </c>
      <c r="J132" s="9">
        <f t="shared" si="2"/>
        <v>0</v>
      </c>
      <c r="K132" s="9">
        <v>0.75</v>
      </c>
      <c r="L132" s="12">
        <f t="shared" si="3"/>
        <v>0</v>
      </c>
      <c r="M132" s="12">
        <v>40.0</v>
      </c>
      <c r="N132" s="13">
        <v>0.2</v>
      </c>
      <c r="O132" s="14">
        <f t="shared" si="4"/>
        <v>0</v>
      </c>
      <c r="P132" s="14">
        <f t="shared" si="5"/>
        <v>0</v>
      </c>
    </row>
    <row r="133" ht="15.75" customHeight="1">
      <c r="A133" s="8" t="s">
        <v>95</v>
      </c>
      <c r="B133" s="9" t="s">
        <v>100</v>
      </c>
      <c r="C133" s="9" t="s">
        <v>181</v>
      </c>
      <c r="D133" s="9" t="s">
        <v>189</v>
      </c>
      <c r="E133" s="10" t="s">
        <v>23</v>
      </c>
      <c r="F133" s="8" t="s">
        <v>24</v>
      </c>
      <c r="G133" s="11"/>
      <c r="H133" s="8"/>
      <c r="I133" s="8">
        <f t="shared" si="1"/>
        <v>1</v>
      </c>
      <c r="J133" s="9">
        <f t="shared" si="2"/>
        <v>0</v>
      </c>
      <c r="K133" s="9">
        <v>0.5</v>
      </c>
      <c r="L133" s="12">
        <f t="shared" si="3"/>
        <v>0</v>
      </c>
      <c r="M133" s="12">
        <v>40.0</v>
      </c>
      <c r="N133" s="13">
        <v>0.2</v>
      </c>
      <c r="O133" s="14">
        <f t="shared" si="4"/>
        <v>0</v>
      </c>
      <c r="P133" s="14">
        <f t="shared" si="5"/>
        <v>0</v>
      </c>
    </row>
    <row r="134" ht="15.75" customHeight="1">
      <c r="A134" s="8" t="s">
        <v>95</v>
      </c>
      <c r="B134" s="9" t="s">
        <v>100</v>
      </c>
      <c r="C134" s="9" t="s">
        <v>181</v>
      </c>
      <c r="D134" s="9" t="s">
        <v>190</v>
      </c>
      <c r="E134" s="10" t="s">
        <v>23</v>
      </c>
      <c r="F134" s="8" t="s">
        <v>24</v>
      </c>
      <c r="G134" s="11"/>
      <c r="H134" s="8"/>
      <c r="I134" s="8">
        <f t="shared" si="1"/>
        <v>1</v>
      </c>
      <c r="J134" s="9">
        <f t="shared" si="2"/>
        <v>0</v>
      </c>
      <c r="K134" s="9">
        <v>2.0</v>
      </c>
      <c r="L134" s="12">
        <f t="shared" si="3"/>
        <v>0</v>
      </c>
      <c r="M134" s="12">
        <v>40.0</v>
      </c>
      <c r="N134" s="13">
        <v>0.2</v>
      </c>
      <c r="O134" s="14">
        <f t="shared" si="4"/>
        <v>0</v>
      </c>
      <c r="P134" s="14">
        <f t="shared" si="5"/>
        <v>0</v>
      </c>
    </row>
    <row r="135" ht="15.75" customHeight="1">
      <c r="A135" s="8" t="s">
        <v>95</v>
      </c>
      <c r="B135" s="9" t="s">
        <v>100</v>
      </c>
      <c r="C135" s="9" t="s">
        <v>181</v>
      </c>
      <c r="D135" s="9" t="s">
        <v>191</v>
      </c>
      <c r="E135" s="10" t="s">
        <v>23</v>
      </c>
      <c r="F135" s="8" t="s">
        <v>24</v>
      </c>
      <c r="G135" s="11"/>
      <c r="H135" s="8"/>
      <c r="I135" s="8">
        <f t="shared" si="1"/>
        <v>1</v>
      </c>
      <c r="J135" s="9">
        <f t="shared" si="2"/>
        <v>0</v>
      </c>
      <c r="K135" s="9">
        <v>1.0</v>
      </c>
      <c r="L135" s="12">
        <f t="shared" si="3"/>
        <v>0</v>
      </c>
      <c r="M135" s="12">
        <v>40.0</v>
      </c>
      <c r="N135" s="13">
        <v>0.2</v>
      </c>
      <c r="O135" s="14">
        <f t="shared" si="4"/>
        <v>0</v>
      </c>
      <c r="P135" s="14">
        <f t="shared" si="5"/>
        <v>0</v>
      </c>
    </row>
    <row r="136" ht="15.75" customHeight="1">
      <c r="A136" s="8" t="s">
        <v>95</v>
      </c>
      <c r="B136" s="9" t="s">
        <v>100</v>
      </c>
      <c r="C136" s="9" t="s">
        <v>181</v>
      </c>
      <c r="D136" s="9" t="s">
        <v>192</v>
      </c>
      <c r="E136" s="10" t="s">
        <v>23</v>
      </c>
      <c r="F136" s="8" t="s">
        <v>24</v>
      </c>
      <c r="G136" s="11"/>
      <c r="H136" s="8"/>
      <c r="I136" s="8">
        <f t="shared" si="1"/>
        <v>1</v>
      </c>
      <c r="J136" s="9">
        <f t="shared" si="2"/>
        <v>0</v>
      </c>
      <c r="K136" s="9">
        <v>0.5</v>
      </c>
      <c r="L136" s="12">
        <f t="shared" si="3"/>
        <v>0</v>
      </c>
      <c r="M136" s="12">
        <v>40.0</v>
      </c>
      <c r="N136" s="13">
        <v>0.2</v>
      </c>
      <c r="O136" s="14">
        <f t="shared" si="4"/>
        <v>0</v>
      </c>
      <c r="P136" s="14">
        <f t="shared" si="5"/>
        <v>0</v>
      </c>
    </row>
    <row r="137" ht="15.75" customHeight="1">
      <c r="A137" s="8" t="s">
        <v>95</v>
      </c>
      <c r="B137" s="9" t="s">
        <v>100</v>
      </c>
      <c r="C137" s="9" t="s">
        <v>181</v>
      </c>
      <c r="D137" s="9" t="s">
        <v>193</v>
      </c>
      <c r="E137" s="10" t="s">
        <v>23</v>
      </c>
      <c r="F137" s="8" t="s">
        <v>24</v>
      </c>
      <c r="G137" s="11"/>
      <c r="H137" s="8"/>
      <c r="I137" s="8">
        <f t="shared" si="1"/>
        <v>1</v>
      </c>
      <c r="J137" s="9">
        <f t="shared" si="2"/>
        <v>0</v>
      </c>
      <c r="K137" s="9">
        <v>0.5</v>
      </c>
      <c r="L137" s="12">
        <f t="shared" si="3"/>
        <v>0</v>
      </c>
      <c r="M137" s="12">
        <v>40.0</v>
      </c>
      <c r="N137" s="13">
        <v>0.2</v>
      </c>
      <c r="O137" s="14">
        <f t="shared" si="4"/>
        <v>0</v>
      </c>
      <c r="P137" s="14">
        <f t="shared" si="5"/>
        <v>0</v>
      </c>
    </row>
    <row r="138" ht="15.75" customHeight="1">
      <c r="A138" s="8" t="s">
        <v>95</v>
      </c>
      <c r="B138" s="9" t="s">
        <v>100</v>
      </c>
      <c r="C138" s="9" t="s">
        <v>194</v>
      </c>
      <c r="D138" s="9" t="s">
        <v>195</v>
      </c>
      <c r="E138" s="10" t="s">
        <v>23</v>
      </c>
      <c r="F138" s="8" t="s">
        <v>24</v>
      </c>
      <c r="G138" s="11"/>
      <c r="H138" s="8"/>
      <c r="I138" s="8">
        <f t="shared" si="1"/>
        <v>1</v>
      </c>
      <c r="J138" s="9">
        <f t="shared" si="2"/>
        <v>0</v>
      </c>
      <c r="K138" s="9">
        <v>3.0</v>
      </c>
      <c r="L138" s="12">
        <f t="shared" si="3"/>
        <v>0</v>
      </c>
      <c r="M138" s="12">
        <v>40.0</v>
      </c>
      <c r="N138" s="13">
        <v>0.2</v>
      </c>
      <c r="O138" s="14">
        <f t="shared" si="4"/>
        <v>0</v>
      </c>
      <c r="P138" s="14">
        <f t="shared" si="5"/>
        <v>0</v>
      </c>
    </row>
    <row r="139" ht="15.75" customHeight="1">
      <c r="A139" s="8" t="s">
        <v>95</v>
      </c>
      <c r="B139" s="9" t="s">
        <v>100</v>
      </c>
      <c r="C139" s="9" t="s">
        <v>194</v>
      </c>
      <c r="D139" s="9" t="s">
        <v>196</v>
      </c>
      <c r="E139" s="10" t="s">
        <v>23</v>
      </c>
      <c r="F139" s="8" t="s">
        <v>24</v>
      </c>
      <c r="G139" s="11"/>
      <c r="H139" s="8"/>
      <c r="I139" s="8">
        <f t="shared" si="1"/>
        <v>1</v>
      </c>
      <c r="J139" s="9">
        <f t="shared" si="2"/>
        <v>0</v>
      </c>
      <c r="K139" s="9">
        <v>3.0</v>
      </c>
      <c r="L139" s="12">
        <f t="shared" si="3"/>
        <v>0</v>
      </c>
      <c r="M139" s="12">
        <v>40.0</v>
      </c>
      <c r="N139" s="13">
        <v>0.2</v>
      </c>
      <c r="O139" s="14">
        <f t="shared" si="4"/>
        <v>0</v>
      </c>
      <c r="P139" s="14">
        <f t="shared" si="5"/>
        <v>0</v>
      </c>
    </row>
    <row r="140" ht="15.75" customHeight="1">
      <c r="A140" s="8" t="s">
        <v>95</v>
      </c>
      <c r="B140" s="9" t="s">
        <v>100</v>
      </c>
      <c r="C140" s="9" t="s">
        <v>194</v>
      </c>
      <c r="D140" s="9" t="s">
        <v>197</v>
      </c>
      <c r="E140" s="10" t="s">
        <v>23</v>
      </c>
      <c r="F140" s="8" t="s">
        <v>24</v>
      </c>
      <c r="G140" s="11"/>
      <c r="H140" s="8"/>
      <c r="I140" s="8">
        <f t="shared" si="1"/>
        <v>1</v>
      </c>
      <c r="J140" s="9">
        <f t="shared" si="2"/>
        <v>0</v>
      </c>
      <c r="K140" s="9">
        <v>2.5</v>
      </c>
      <c r="L140" s="12">
        <f t="shared" si="3"/>
        <v>0</v>
      </c>
      <c r="M140" s="12">
        <v>40.0</v>
      </c>
      <c r="N140" s="13">
        <v>0.2</v>
      </c>
      <c r="O140" s="14">
        <f t="shared" si="4"/>
        <v>0</v>
      </c>
      <c r="P140" s="14">
        <f t="shared" si="5"/>
        <v>0</v>
      </c>
    </row>
    <row r="141" ht="15.75" customHeight="1">
      <c r="A141" s="8" t="s">
        <v>95</v>
      </c>
      <c r="B141" s="9" t="s">
        <v>100</v>
      </c>
      <c r="C141" s="9" t="s">
        <v>194</v>
      </c>
      <c r="D141" s="9" t="s">
        <v>198</v>
      </c>
      <c r="E141" s="10" t="s">
        <v>23</v>
      </c>
      <c r="F141" s="8" t="s">
        <v>24</v>
      </c>
      <c r="G141" s="11"/>
      <c r="H141" s="8"/>
      <c r="I141" s="8">
        <f t="shared" si="1"/>
        <v>1</v>
      </c>
      <c r="J141" s="9">
        <f t="shared" si="2"/>
        <v>0</v>
      </c>
      <c r="K141" s="9">
        <v>2.0</v>
      </c>
      <c r="L141" s="12">
        <f t="shared" si="3"/>
        <v>0</v>
      </c>
      <c r="M141" s="12">
        <v>40.0</v>
      </c>
      <c r="N141" s="13">
        <v>0.2</v>
      </c>
      <c r="O141" s="14">
        <f t="shared" si="4"/>
        <v>0</v>
      </c>
      <c r="P141" s="14">
        <f t="shared" si="5"/>
        <v>0</v>
      </c>
    </row>
    <row r="142" ht="15.75" customHeight="1">
      <c r="A142" s="8" t="s">
        <v>199</v>
      </c>
      <c r="B142" s="9" t="s">
        <v>100</v>
      </c>
      <c r="C142" s="9" t="s">
        <v>200</v>
      </c>
      <c r="D142" s="9" t="s">
        <v>201</v>
      </c>
      <c r="E142" s="10" t="s">
        <v>23</v>
      </c>
      <c r="F142" s="8" t="s">
        <v>24</v>
      </c>
      <c r="G142" s="11"/>
      <c r="H142" s="8"/>
      <c r="I142" s="8">
        <f t="shared" si="1"/>
        <v>1</v>
      </c>
      <c r="J142" s="9">
        <f t="shared" si="2"/>
        <v>0</v>
      </c>
      <c r="K142" s="9">
        <v>3.0</v>
      </c>
      <c r="L142" s="12">
        <f t="shared" si="3"/>
        <v>0</v>
      </c>
      <c r="M142" s="12">
        <v>40.0</v>
      </c>
      <c r="N142" s="13">
        <v>0.2</v>
      </c>
      <c r="O142" s="14">
        <f t="shared" si="4"/>
        <v>0</v>
      </c>
      <c r="P142" s="14">
        <f t="shared" si="5"/>
        <v>0</v>
      </c>
    </row>
    <row r="143" ht="15.75" customHeight="1">
      <c r="A143" s="8" t="s">
        <v>199</v>
      </c>
      <c r="B143" s="9" t="s">
        <v>100</v>
      </c>
      <c r="C143" s="9" t="s">
        <v>200</v>
      </c>
      <c r="D143" s="9" t="s">
        <v>202</v>
      </c>
      <c r="E143" s="10" t="s">
        <v>23</v>
      </c>
      <c r="F143" s="8" t="s">
        <v>24</v>
      </c>
      <c r="G143" s="11"/>
      <c r="H143" s="8"/>
      <c r="I143" s="8">
        <f t="shared" si="1"/>
        <v>1</v>
      </c>
      <c r="J143" s="9">
        <f t="shared" si="2"/>
        <v>0</v>
      </c>
      <c r="K143" s="9">
        <v>2.0</v>
      </c>
      <c r="L143" s="12">
        <f t="shared" si="3"/>
        <v>0</v>
      </c>
      <c r="M143" s="12">
        <v>40.0</v>
      </c>
      <c r="N143" s="13">
        <v>0.2</v>
      </c>
      <c r="O143" s="14">
        <f t="shared" si="4"/>
        <v>0</v>
      </c>
      <c r="P143" s="14">
        <f t="shared" si="5"/>
        <v>0</v>
      </c>
    </row>
    <row r="144" ht="15.75" customHeight="1">
      <c r="A144" s="8" t="s">
        <v>95</v>
      </c>
      <c r="B144" s="9" t="s">
        <v>100</v>
      </c>
      <c r="C144" s="9" t="s">
        <v>203</v>
      </c>
      <c r="D144" s="9" t="s">
        <v>204</v>
      </c>
      <c r="E144" s="10" t="s">
        <v>23</v>
      </c>
      <c r="F144" s="8" t="s">
        <v>24</v>
      </c>
      <c r="G144" s="11"/>
      <c r="H144" s="8"/>
      <c r="I144" s="8">
        <f t="shared" si="1"/>
        <v>1</v>
      </c>
      <c r="J144" s="9">
        <f t="shared" si="2"/>
        <v>0</v>
      </c>
      <c r="K144" s="9">
        <v>8.0</v>
      </c>
      <c r="L144" s="12">
        <f t="shared" si="3"/>
        <v>0</v>
      </c>
      <c r="M144" s="12">
        <v>80.0</v>
      </c>
      <c r="N144" s="13">
        <v>0.2</v>
      </c>
      <c r="O144" s="14">
        <f t="shared" si="4"/>
        <v>0</v>
      </c>
      <c r="P144" s="14">
        <f t="shared" si="5"/>
        <v>0</v>
      </c>
    </row>
    <row r="145" ht="15.75" customHeight="1">
      <c r="A145" s="8" t="s">
        <v>19</v>
      </c>
      <c r="B145" s="9" t="s">
        <v>205</v>
      </c>
      <c r="C145" s="9" t="s">
        <v>206</v>
      </c>
      <c r="D145" s="9" t="s">
        <v>207</v>
      </c>
      <c r="E145" s="10" t="s">
        <v>23</v>
      </c>
      <c r="F145" s="8" t="s">
        <v>24</v>
      </c>
      <c r="G145" s="11"/>
      <c r="H145" s="8"/>
      <c r="I145" s="8">
        <f t="shared" si="1"/>
        <v>1</v>
      </c>
      <c r="J145" s="9">
        <f t="shared" si="2"/>
        <v>0</v>
      </c>
      <c r="K145" s="9">
        <v>4.0</v>
      </c>
      <c r="L145" s="12">
        <f t="shared" si="3"/>
        <v>0</v>
      </c>
      <c r="M145" s="12">
        <v>40.0</v>
      </c>
      <c r="N145" s="13">
        <v>0.2</v>
      </c>
      <c r="O145" s="14">
        <f t="shared" si="4"/>
        <v>0</v>
      </c>
      <c r="P145" s="14">
        <f t="shared" si="5"/>
        <v>0</v>
      </c>
    </row>
    <row r="146" ht="15.75" customHeight="1">
      <c r="A146" s="8" t="s">
        <v>19</v>
      </c>
      <c r="B146" s="9" t="s">
        <v>205</v>
      </c>
      <c r="C146" s="9" t="s">
        <v>206</v>
      </c>
      <c r="D146" s="9" t="s">
        <v>208</v>
      </c>
      <c r="E146" s="10" t="s">
        <v>23</v>
      </c>
      <c r="F146" s="8" t="s">
        <v>24</v>
      </c>
      <c r="G146" s="11"/>
      <c r="H146" s="8"/>
      <c r="I146" s="8">
        <f t="shared" si="1"/>
        <v>1</v>
      </c>
      <c r="J146" s="9">
        <f t="shared" si="2"/>
        <v>0</v>
      </c>
      <c r="K146" s="9">
        <v>3.0</v>
      </c>
      <c r="L146" s="12">
        <f t="shared" si="3"/>
        <v>0</v>
      </c>
      <c r="M146" s="12">
        <v>40.0</v>
      </c>
      <c r="N146" s="13">
        <v>0.2</v>
      </c>
      <c r="O146" s="14">
        <f t="shared" si="4"/>
        <v>0</v>
      </c>
      <c r="P146" s="14">
        <f t="shared" si="5"/>
        <v>0</v>
      </c>
    </row>
    <row r="147" ht="15.75" customHeight="1">
      <c r="A147" s="8" t="s">
        <v>95</v>
      </c>
      <c r="B147" s="9" t="s">
        <v>205</v>
      </c>
      <c r="C147" s="9" t="s">
        <v>206</v>
      </c>
      <c r="D147" s="9" t="s">
        <v>209</v>
      </c>
      <c r="E147" s="10" t="s">
        <v>23</v>
      </c>
      <c r="F147" s="8" t="s">
        <v>24</v>
      </c>
      <c r="G147" s="11"/>
      <c r="H147" s="8"/>
      <c r="I147" s="8">
        <f t="shared" si="1"/>
        <v>1</v>
      </c>
      <c r="J147" s="9">
        <f t="shared" si="2"/>
        <v>0</v>
      </c>
      <c r="K147" s="9">
        <v>2.0</v>
      </c>
      <c r="L147" s="12">
        <f t="shared" si="3"/>
        <v>0</v>
      </c>
      <c r="M147" s="12">
        <v>40.0</v>
      </c>
      <c r="N147" s="13">
        <v>0.2</v>
      </c>
      <c r="O147" s="14">
        <f t="shared" si="4"/>
        <v>0</v>
      </c>
      <c r="P147" s="14">
        <f t="shared" si="5"/>
        <v>0</v>
      </c>
    </row>
    <row r="148" ht="15.75" customHeight="1">
      <c r="A148" s="16"/>
      <c r="E148" s="16"/>
      <c r="G148" s="17"/>
      <c r="L148" s="16">
        <f>SUM(L3:L147)</f>
        <v>0</v>
      </c>
      <c r="P148" s="18">
        <f>SUM(P3:P147)</f>
        <v>0</v>
      </c>
    </row>
    <row r="149" ht="15.75" customHeight="1">
      <c r="A149" s="16"/>
      <c r="E149" s="16"/>
      <c r="G149" s="17"/>
    </row>
    <row r="150" ht="15.75" customHeight="1">
      <c r="A150" s="16"/>
      <c r="E150" s="16"/>
      <c r="G150" s="17"/>
    </row>
    <row r="151" ht="15.75" customHeight="1">
      <c r="A151" s="16"/>
      <c r="E151" s="16"/>
      <c r="G151" s="17"/>
    </row>
    <row r="152" ht="15.75" customHeight="1">
      <c r="A152" s="16"/>
      <c r="E152" s="16"/>
      <c r="G152" s="17"/>
    </row>
    <row r="153" ht="15.75" customHeight="1">
      <c r="A153" s="16"/>
      <c r="E153" s="16"/>
      <c r="G153" s="17"/>
    </row>
    <row r="154" ht="15.75" customHeight="1">
      <c r="A154" s="16"/>
      <c r="E154" s="16"/>
      <c r="G154" s="17"/>
    </row>
    <row r="155" ht="15.75" customHeight="1">
      <c r="A155" s="16"/>
      <c r="E155" s="16"/>
      <c r="G155" s="17"/>
    </row>
    <row r="156" ht="15.75" customHeight="1">
      <c r="A156" s="16"/>
      <c r="E156" s="16"/>
      <c r="G156" s="17"/>
    </row>
    <row r="157" ht="15.75" customHeight="1">
      <c r="A157" s="16"/>
      <c r="E157" s="16"/>
      <c r="G157" s="17"/>
    </row>
    <row r="158" ht="15.75" customHeight="1">
      <c r="A158" s="16"/>
      <c r="E158" s="16"/>
      <c r="G158" s="17"/>
    </row>
    <row r="159" ht="15.75" customHeight="1">
      <c r="A159" s="16"/>
      <c r="E159" s="16"/>
      <c r="G159" s="17"/>
    </row>
    <row r="160" ht="15.75" customHeight="1">
      <c r="A160" s="16"/>
      <c r="E160" s="16"/>
      <c r="G160" s="17"/>
    </row>
    <row r="161" ht="15.75" customHeight="1">
      <c r="A161" s="16"/>
      <c r="E161" s="16"/>
      <c r="G161" s="17"/>
    </row>
    <row r="162" ht="15.75" customHeight="1">
      <c r="A162" s="16"/>
      <c r="E162" s="16"/>
      <c r="G162" s="17"/>
    </row>
    <row r="163" ht="15.75" customHeight="1">
      <c r="A163" s="16"/>
      <c r="E163" s="16"/>
      <c r="G163" s="17"/>
    </row>
    <row r="164" ht="15.75" customHeight="1">
      <c r="A164" s="16"/>
      <c r="E164" s="16"/>
      <c r="G164" s="17"/>
    </row>
    <row r="165" ht="15.75" customHeight="1">
      <c r="A165" s="16"/>
      <c r="E165" s="16"/>
      <c r="G165" s="17"/>
    </row>
    <row r="166" ht="15.75" customHeight="1">
      <c r="A166" s="16"/>
      <c r="E166" s="16"/>
      <c r="G166" s="17"/>
    </row>
    <row r="167" ht="15.75" customHeight="1">
      <c r="A167" s="16"/>
      <c r="E167" s="16"/>
      <c r="G167" s="17"/>
    </row>
    <row r="168" ht="15.75" customHeight="1">
      <c r="A168" s="16"/>
      <c r="E168" s="16"/>
      <c r="G168" s="17"/>
    </row>
    <row r="169" ht="15.75" customHeight="1">
      <c r="A169" s="16"/>
      <c r="E169" s="16"/>
      <c r="G169" s="17"/>
    </row>
    <row r="170" ht="15.75" customHeight="1">
      <c r="A170" s="16"/>
      <c r="E170" s="16"/>
      <c r="G170" s="17"/>
    </row>
    <row r="171" ht="15.75" customHeight="1">
      <c r="A171" s="16"/>
      <c r="E171" s="16"/>
      <c r="G171" s="17"/>
    </row>
    <row r="172" ht="15.75" customHeight="1">
      <c r="A172" s="16"/>
      <c r="E172" s="16"/>
      <c r="G172" s="17"/>
    </row>
    <row r="173" ht="15.75" customHeight="1">
      <c r="A173" s="16"/>
      <c r="E173" s="16"/>
      <c r="G173" s="17"/>
    </row>
    <row r="174" ht="15.75" customHeight="1">
      <c r="A174" s="16"/>
      <c r="E174" s="16"/>
      <c r="G174" s="17"/>
    </row>
    <row r="175" ht="15.75" customHeight="1">
      <c r="A175" s="16"/>
      <c r="E175" s="16"/>
      <c r="G175" s="17"/>
    </row>
    <row r="176" ht="15.75" customHeight="1">
      <c r="A176" s="16"/>
      <c r="E176" s="16"/>
      <c r="G176" s="17"/>
    </row>
    <row r="177" ht="15.75" customHeight="1">
      <c r="A177" s="16"/>
      <c r="E177" s="16"/>
      <c r="G177" s="17"/>
    </row>
    <row r="178" ht="15.75" customHeight="1">
      <c r="A178" s="16"/>
      <c r="E178" s="16"/>
      <c r="G178" s="17"/>
    </row>
    <row r="179" ht="15.75" customHeight="1">
      <c r="A179" s="16"/>
      <c r="E179" s="16"/>
      <c r="G179" s="17"/>
    </row>
    <row r="180" ht="15.75" customHeight="1">
      <c r="A180" s="16"/>
      <c r="E180" s="16"/>
      <c r="G180" s="17"/>
    </row>
    <row r="181" ht="15.75" customHeight="1">
      <c r="A181" s="16"/>
      <c r="E181" s="16"/>
      <c r="G181" s="17"/>
    </row>
    <row r="182" ht="15.75" customHeight="1">
      <c r="A182" s="16"/>
      <c r="E182" s="16"/>
      <c r="G182" s="17"/>
    </row>
    <row r="183" ht="15.75" customHeight="1">
      <c r="A183" s="16"/>
      <c r="E183" s="16"/>
      <c r="G183" s="17"/>
    </row>
    <row r="184" ht="15.75" customHeight="1">
      <c r="A184" s="16"/>
      <c r="E184" s="16"/>
      <c r="G184" s="17"/>
    </row>
    <row r="185" ht="15.75" customHeight="1">
      <c r="A185" s="16"/>
      <c r="E185" s="16"/>
      <c r="G185" s="17"/>
    </row>
    <row r="186" ht="15.75" customHeight="1">
      <c r="A186" s="16"/>
      <c r="E186" s="16"/>
      <c r="G186" s="17"/>
    </row>
    <row r="187" ht="15.75" customHeight="1">
      <c r="A187" s="16"/>
      <c r="E187" s="16"/>
      <c r="G187" s="17"/>
    </row>
    <row r="188" ht="15.75" customHeight="1">
      <c r="A188" s="16"/>
      <c r="E188" s="16"/>
      <c r="G188" s="17"/>
    </row>
    <row r="189" ht="15.75" customHeight="1">
      <c r="A189" s="16"/>
      <c r="E189" s="16"/>
      <c r="G189" s="17"/>
    </row>
    <row r="190" ht="15.75" customHeight="1">
      <c r="A190" s="16"/>
      <c r="E190" s="16"/>
      <c r="G190" s="17"/>
    </row>
    <row r="191" ht="15.75" customHeight="1">
      <c r="A191" s="16"/>
      <c r="E191" s="16"/>
      <c r="G191" s="17"/>
    </row>
    <row r="192" ht="15.75" customHeight="1">
      <c r="A192" s="16"/>
      <c r="E192" s="16"/>
      <c r="G192" s="17"/>
    </row>
    <row r="193" ht="15.75" customHeight="1">
      <c r="A193" s="16"/>
      <c r="E193" s="16"/>
      <c r="G193" s="17"/>
    </row>
    <row r="194" ht="15.75" customHeight="1">
      <c r="A194" s="16"/>
      <c r="E194" s="16"/>
      <c r="G194" s="17"/>
    </row>
    <row r="195" ht="15.75" customHeight="1">
      <c r="A195" s="16"/>
      <c r="E195" s="16"/>
      <c r="G195" s="17"/>
    </row>
    <row r="196" ht="15.75" customHeight="1">
      <c r="A196" s="16"/>
      <c r="E196" s="16"/>
      <c r="G196" s="17"/>
    </row>
    <row r="197" ht="15.75" customHeight="1">
      <c r="A197" s="16"/>
      <c r="E197" s="16"/>
      <c r="G197" s="17"/>
    </row>
    <row r="198" ht="15.75" customHeight="1">
      <c r="A198" s="16"/>
      <c r="E198" s="16"/>
      <c r="G198" s="17"/>
    </row>
    <row r="199" ht="15.75" customHeight="1">
      <c r="A199" s="16"/>
      <c r="E199" s="16"/>
      <c r="G199" s="17"/>
    </row>
    <row r="200" ht="15.75" customHeight="1">
      <c r="A200" s="16"/>
      <c r="E200" s="16"/>
      <c r="G200" s="17"/>
    </row>
    <row r="201" ht="15.75" customHeight="1">
      <c r="A201" s="16"/>
      <c r="E201" s="16"/>
      <c r="G201" s="17"/>
    </row>
    <row r="202" ht="15.75" customHeight="1">
      <c r="A202" s="16"/>
      <c r="E202" s="16"/>
      <c r="G202" s="17"/>
    </row>
    <row r="203" ht="15.75" customHeight="1">
      <c r="A203" s="16"/>
      <c r="E203" s="16"/>
      <c r="G203" s="17"/>
    </row>
    <row r="204" ht="15.75" customHeight="1">
      <c r="A204" s="16"/>
      <c r="E204" s="16"/>
      <c r="G204" s="17"/>
    </row>
    <row r="205" ht="15.75" customHeight="1">
      <c r="A205" s="16"/>
      <c r="E205" s="16"/>
      <c r="G205" s="17"/>
    </row>
    <row r="206" ht="15.75" customHeight="1">
      <c r="A206" s="16"/>
      <c r="E206" s="16"/>
      <c r="G206" s="17"/>
    </row>
    <row r="207" ht="15.75" customHeight="1">
      <c r="A207" s="16"/>
      <c r="E207" s="16"/>
      <c r="G207" s="17"/>
    </row>
    <row r="208" ht="15.75" customHeight="1">
      <c r="A208" s="16"/>
      <c r="E208" s="16"/>
      <c r="G208" s="17"/>
    </row>
    <row r="209" ht="15.75" customHeight="1">
      <c r="A209" s="16"/>
      <c r="E209" s="16"/>
      <c r="G209" s="17"/>
    </row>
    <row r="210" ht="15.75" customHeight="1">
      <c r="A210" s="16"/>
      <c r="G210" s="17"/>
    </row>
    <row r="211" ht="15.75" customHeight="1">
      <c r="A211" s="16"/>
      <c r="G211" s="17"/>
    </row>
    <row r="212" ht="15.75" customHeight="1">
      <c r="A212" s="16"/>
      <c r="G212" s="17"/>
    </row>
    <row r="213" ht="15.75" customHeight="1">
      <c r="A213" s="16"/>
      <c r="G213" s="17"/>
    </row>
    <row r="214" ht="15.75" customHeight="1">
      <c r="A214" s="16"/>
      <c r="G214" s="17"/>
    </row>
    <row r="215" ht="15.75" customHeight="1">
      <c r="A215" s="16"/>
      <c r="G215" s="17"/>
    </row>
    <row r="216" ht="15.75" customHeight="1">
      <c r="A216" s="16"/>
      <c r="G216" s="17"/>
    </row>
    <row r="217" ht="15.75" customHeight="1">
      <c r="A217" s="16"/>
      <c r="G217" s="17"/>
    </row>
    <row r="218" ht="15.75" customHeight="1">
      <c r="A218" s="16"/>
      <c r="G218" s="17"/>
    </row>
    <row r="219" ht="15.75" customHeight="1">
      <c r="A219" s="16"/>
      <c r="G219" s="17"/>
    </row>
    <row r="220" ht="15.75" customHeight="1">
      <c r="A220" s="16"/>
      <c r="G220" s="17"/>
    </row>
    <row r="221" ht="15.75" customHeight="1">
      <c r="A221" s="16"/>
      <c r="G221" s="17"/>
    </row>
    <row r="222" ht="15.75" customHeight="1">
      <c r="A222" s="16"/>
      <c r="G222" s="17"/>
    </row>
    <row r="223" ht="15.75" customHeight="1">
      <c r="A223" s="16"/>
      <c r="G223" s="17"/>
    </row>
    <row r="224" ht="15.75" customHeight="1">
      <c r="A224" s="16"/>
      <c r="G224" s="17"/>
    </row>
    <row r="225" ht="15.75" customHeight="1">
      <c r="A225" s="16"/>
      <c r="G225" s="17"/>
    </row>
    <row r="226" ht="15.75" customHeight="1">
      <c r="A226" s="16"/>
      <c r="G226" s="17"/>
    </row>
    <row r="227" ht="15.75" customHeight="1">
      <c r="A227" s="16"/>
      <c r="G227" s="17"/>
    </row>
    <row r="228" ht="15.75" customHeight="1">
      <c r="A228" s="16"/>
      <c r="G228" s="17"/>
    </row>
    <row r="229" ht="15.75" customHeight="1">
      <c r="A229" s="16"/>
      <c r="G229" s="17"/>
    </row>
    <row r="230" ht="15.75" customHeight="1">
      <c r="A230" s="16"/>
      <c r="G230" s="17"/>
    </row>
    <row r="231" ht="15.75" customHeight="1">
      <c r="A231" s="16"/>
      <c r="G231" s="17"/>
    </row>
    <row r="232" ht="15.75" customHeight="1">
      <c r="A232" s="16"/>
      <c r="G232" s="17"/>
    </row>
    <row r="233" ht="15.75" customHeight="1">
      <c r="A233" s="16"/>
      <c r="G233" s="17"/>
    </row>
    <row r="234" ht="15.75" customHeight="1">
      <c r="A234" s="16"/>
      <c r="G234" s="17"/>
    </row>
    <row r="235" ht="15.75" customHeight="1">
      <c r="A235" s="16"/>
      <c r="G235" s="17"/>
    </row>
    <row r="236" ht="15.75" customHeight="1">
      <c r="A236" s="16"/>
      <c r="G236" s="17"/>
    </row>
    <row r="237" ht="15.75" customHeight="1">
      <c r="A237" s="16"/>
      <c r="G237" s="17"/>
    </row>
    <row r="238" ht="15.75" customHeight="1">
      <c r="A238" s="16"/>
      <c r="G238" s="17"/>
    </row>
    <row r="239" ht="15.75" customHeight="1">
      <c r="A239" s="16"/>
      <c r="G239" s="17"/>
    </row>
    <row r="240" ht="15.75" customHeight="1">
      <c r="A240" s="16"/>
      <c r="G240" s="17"/>
    </row>
    <row r="241" ht="15.75" customHeight="1">
      <c r="A241" s="16"/>
      <c r="G241" s="17"/>
    </row>
    <row r="242" ht="15.75" customHeight="1">
      <c r="A242" s="16"/>
      <c r="G242" s="17"/>
    </row>
    <row r="243" ht="15.75" customHeight="1">
      <c r="A243" s="16"/>
      <c r="G243" s="17"/>
    </row>
    <row r="244" ht="15.75" customHeight="1">
      <c r="A244" s="16"/>
      <c r="G244" s="17"/>
    </row>
    <row r="245" ht="15.75" customHeight="1">
      <c r="A245" s="16"/>
      <c r="G245" s="17"/>
    </row>
    <row r="246" ht="15.75" customHeight="1">
      <c r="A246" s="16"/>
      <c r="G246" s="17"/>
    </row>
    <row r="247" ht="15.75" customHeight="1">
      <c r="A247" s="16"/>
      <c r="G247" s="17"/>
    </row>
    <row r="248" ht="15.75" customHeight="1">
      <c r="A248" s="16"/>
      <c r="G248" s="17"/>
    </row>
    <row r="249" ht="15.75" customHeight="1">
      <c r="A249" s="16"/>
      <c r="G249" s="17"/>
    </row>
    <row r="250" ht="15.75" customHeight="1">
      <c r="A250" s="16"/>
      <c r="G250" s="17"/>
    </row>
    <row r="251" ht="15.75" customHeight="1">
      <c r="A251" s="16"/>
      <c r="G251" s="17"/>
    </row>
    <row r="252" ht="15.75" customHeight="1">
      <c r="A252" s="16"/>
      <c r="G252" s="17"/>
    </row>
    <row r="253" ht="15.75" customHeight="1">
      <c r="A253" s="16"/>
      <c r="G253" s="17"/>
    </row>
    <row r="254" ht="15.75" customHeight="1">
      <c r="A254" s="16"/>
      <c r="G254" s="17"/>
    </row>
    <row r="255" ht="15.75" customHeight="1">
      <c r="A255" s="16"/>
      <c r="G255" s="17"/>
    </row>
    <row r="256" ht="15.75" customHeight="1">
      <c r="A256" s="16"/>
      <c r="G256" s="17"/>
    </row>
    <row r="257" ht="15.75" customHeight="1">
      <c r="A257" s="16"/>
      <c r="G257" s="17"/>
    </row>
    <row r="258" ht="15.75" customHeight="1">
      <c r="A258" s="16"/>
      <c r="G258" s="17"/>
    </row>
    <row r="259" ht="15.75" customHeight="1">
      <c r="A259" s="16"/>
      <c r="G259" s="17"/>
    </row>
    <row r="260" ht="15.75" customHeight="1">
      <c r="A260" s="16"/>
      <c r="G260" s="17"/>
    </row>
    <row r="261" ht="15.75" customHeight="1">
      <c r="A261" s="16"/>
      <c r="G261" s="17"/>
    </row>
    <row r="262" ht="15.75" customHeight="1">
      <c r="A262" s="16"/>
      <c r="G262" s="17"/>
    </row>
    <row r="263" ht="15.75" customHeight="1">
      <c r="A263" s="16"/>
      <c r="G263" s="17"/>
    </row>
    <row r="264" ht="15.75" customHeight="1">
      <c r="A264" s="16"/>
      <c r="G264" s="17"/>
    </row>
    <row r="265" ht="15.75" customHeight="1">
      <c r="A265" s="16"/>
      <c r="G265" s="17"/>
    </row>
    <row r="266" ht="15.75" customHeight="1">
      <c r="A266" s="16"/>
      <c r="G266" s="17"/>
    </row>
    <row r="267" ht="15.75" customHeight="1">
      <c r="A267" s="16"/>
      <c r="G267" s="17"/>
    </row>
    <row r="268" ht="15.75" customHeight="1">
      <c r="A268" s="16"/>
      <c r="G268" s="17"/>
    </row>
    <row r="269" ht="15.75" customHeight="1">
      <c r="A269" s="16"/>
      <c r="G269" s="17"/>
    </row>
    <row r="270" ht="15.75" customHeight="1">
      <c r="A270" s="16"/>
      <c r="G270" s="17"/>
    </row>
    <row r="271" ht="15.75" customHeight="1">
      <c r="A271" s="16"/>
      <c r="G271" s="17"/>
    </row>
    <row r="272" ht="15.75" customHeight="1">
      <c r="A272" s="16"/>
      <c r="G272" s="17"/>
    </row>
    <row r="273" ht="15.75" customHeight="1">
      <c r="A273" s="16"/>
      <c r="G273" s="17"/>
    </row>
    <row r="274" ht="15.75" customHeight="1">
      <c r="A274" s="16"/>
      <c r="G274" s="17"/>
    </row>
    <row r="275" ht="15.75" customHeight="1">
      <c r="A275" s="16"/>
      <c r="G275" s="17"/>
    </row>
    <row r="276" ht="15.75" customHeight="1">
      <c r="A276" s="16"/>
      <c r="G276" s="17"/>
    </row>
    <row r="277" ht="15.75" customHeight="1">
      <c r="A277" s="16"/>
      <c r="G277" s="17"/>
    </row>
    <row r="278" ht="15.75" customHeight="1">
      <c r="A278" s="16"/>
      <c r="G278" s="17"/>
    </row>
    <row r="279" ht="15.75" customHeight="1">
      <c r="A279" s="16"/>
      <c r="G279" s="17"/>
    </row>
    <row r="280" ht="15.75" customHeight="1">
      <c r="A280" s="16"/>
      <c r="G280" s="17"/>
    </row>
    <row r="281" ht="15.75" customHeight="1">
      <c r="A281" s="16"/>
      <c r="G281" s="17"/>
    </row>
    <row r="282" ht="15.75" customHeight="1">
      <c r="A282" s="16"/>
      <c r="G282" s="17"/>
    </row>
    <row r="283" ht="15.75" customHeight="1">
      <c r="A283" s="16"/>
      <c r="G283" s="17"/>
    </row>
    <row r="284" ht="15.75" customHeight="1">
      <c r="A284" s="16"/>
      <c r="G284" s="17"/>
    </row>
    <row r="285" ht="15.75" customHeight="1">
      <c r="A285" s="16"/>
      <c r="G285" s="17"/>
    </row>
    <row r="286" ht="15.75" customHeight="1">
      <c r="A286" s="16"/>
      <c r="G286" s="17"/>
    </row>
    <row r="287" ht="15.75" customHeight="1">
      <c r="A287" s="16"/>
      <c r="G287" s="17"/>
    </row>
    <row r="288" ht="15.75" customHeight="1">
      <c r="A288" s="16"/>
      <c r="G288" s="17"/>
    </row>
    <row r="289" ht="15.75" customHeight="1">
      <c r="A289" s="16"/>
      <c r="G289" s="17"/>
    </row>
    <row r="290" ht="15.75" customHeight="1">
      <c r="A290" s="16"/>
      <c r="G290" s="17"/>
    </row>
    <row r="291" ht="15.75" customHeight="1">
      <c r="A291" s="16"/>
      <c r="G291" s="17"/>
    </row>
    <row r="292" ht="15.75" customHeight="1">
      <c r="A292" s="16"/>
      <c r="G292" s="17"/>
    </row>
    <row r="293" ht="15.75" customHeight="1">
      <c r="A293" s="16"/>
      <c r="G293" s="17"/>
    </row>
    <row r="294" ht="15.75" customHeight="1">
      <c r="A294" s="16"/>
      <c r="G294" s="17"/>
    </row>
    <row r="295" ht="15.75" customHeight="1">
      <c r="A295" s="16"/>
      <c r="G295" s="17"/>
    </row>
    <row r="296" ht="15.75" customHeight="1">
      <c r="A296" s="16"/>
      <c r="G296" s="17"/>
    </row>
    <row r="297" ht="15.75" customHeight="1">
      <c r="A297" s="16"/>
      <c r="G297" s="17"/>
    </row>
    <row r="298" ht="15.75" customHeight="1">
      <c r="A298" s="16"/>
      <c r="G298" s="17"/>
    </row>
    <row r="299" ht="15.75" customHeight="1">
      <c r="A299" s="16"/>
      <c r="G299" s="17"/>
    </row>
    <row r="300" ht="15.75" customHeight="1">
      <c r="A300" s="16"/>
      <c r="G300" s="17"/>
    </row>
    <row r="301" ht="15.75" customHeight="1">
      <c r="A301" s="16"/>
      <c r="G301" s="17"/>
    </row>
    <row r="302" ht="15.75" customHeight="1">
      <c r="A302" s="16"/>
      <c r="G302" s="17"/>
    </row>
    <row r="303" ht="15.75" customHeight="1">
      <c r="A303" s="16"/>
      <c r="G303" s="17"/>
    </row>
    <row r="304" ht="15.75" customHeight="1">
      <c r="A304" s="16"/>
      <c r="G304" s="17"/>
    </row>
    <row r="305" ht="15.75" customHeight="1">
      <c r="A305" s="16"/>
      <c r="G305" s="17"/>
    </row>
    <row r="306" ht="15.75" customHeight="1">
      <c r="A306" s="16"/>
      <c r="G306" s="17"/>
    </row>
    <row r="307" ht="15.75" customHeight="1">
      <c r="A307" s="16"/>
      <c r="G307" s="17"/>
    </row>
    <row r="308" ht="15.75" customHeight="1">
      <c r="A308" s="16"/>
      <c r="G308" s="17"/>
    </row>
    <row r="309" ht="15.75" customHeight="1">
      <c r="A309" s="16"/>
      <c r="G309" s="17"/>
    </row>
    <row r="310" ht="15.75" customHeight="1">
      <c r="A310" s="16"/>
      <c r="G310" s="17"/>
    </row>
    <row r="311" ht="15.75" customHeight="1">
      <c r="A311" s="16"/>
      <c r="G311" s="17"/>
    </row>
    <row r="312" ht="15.75" customHeight="1">
      <c r="A312" s="16"/>
      <c r="G312" s="17"/>
    </row>
    <row r="313" ht="15.75" customHeight="1">
      <c r="A313" s="16"/>
      <c r="G313" s="17"/>
    </row>
    <row r="314" ht="15.75" customHeight="1">
      <c r="A314" s="16"/>
      <c r="G314" s="17"/>
    </row>
    <row r="315" ht="15.75" customHeight="1">
      <c r="A315" s="16"/>
      <c r="G315" s="17"/>
    </row>
    <row r="316" ht="15.75" customHeight="1">
      <c r="A316" s="16"/>
      <c r="G316" s="17"/>
    </row>
    <row r="317" ht="15.75" customHeight="1">
      <c r="A317" s="16"/>
      <c r="G317" s="17"/>
    </row>
    <row r="318" ht="15.75" customHeight="1">
      <c r="A318" s="16"/>
      <c r="G318" s="17"/>
    </row>
    <row r="319" ht="15.75" customHeight="1">
      <c r="A319" s="16"/>
      <c r="G319" s="17"/>
    </row>
    <row r="320" ht="15.75" customHeight="1">
      <c r="A320" s="16"/>
      <c r="G320" s="17"/>
    </row>
    <row r="321" ht="15.75" customHeight="1">
      <c r="A321" s="16"/>
      <c r="G321" s="17"/>
    </row>
    <row r="322" ht="15.75" customHeight="1">
      <c r="A322" s="16"/>
      <c r="G322" s="17"/>
    </row>
    <row r="323" ht="15.75" customHeight="1">
      <c r="A323" s="16"/>
      <c r="G323" s="17"/>
    </row>
    <row r="324" ht="15.75" customHeight="1">
      <c r="A324" s="16"/>
      <c r="G324" s="17"/>
    </row>
    <row r="325" ht="15.75" customHeight="1">
      <c r="A325" s="16"/>
      <c r="G325" s="17"/>
    </row>
    <row r="326" ht="15.75" customHeight="1">
      <c r="A326" s="16"/>
      <c r="G326" s="17"/>
    </row>
    <row r="327" ht="15.75" customHeight="1">
      <c r="A327" s="16"/>
      <c r="G327" s="17"/>
    </row>
    <row r="328" ht="15.75" customHeight="1">
      <c r="A328" s="16"/>
      <c r="G328" s="17"/>
    </row>
    <row r="329" ht="15.75" customHeight="1">
      <c r="A329" s="16"/>
      <c r="G329" s="17"/>
    </row>
    <row r="330" ht="15.75" customHeight="1">
      <c r="A330" s="16"/>
      <c r="G330" s="17"/>
    </row>
    <row r="331" ht="15.75" customHeight="1">
      <c r="A331" s="16"/>
      <c r="G331" s="17"/>
    </row>
    <row r="332" ht="15.75" customHeight="1">
      <c r="A332" s="16"/>
      <c r="G332" s="17"/>
    </row>
    <row r="333" ht="15.75" customHeight="1">
      <c r="A333" s="16"/>
      <c r="G333" s="17"/>
    </row>
    <row r="334" ht="15.75" customHeight="1">
      <c r="A334" s="16"/>
      <c r="G334" s="17"/>
    </row>
    <row r="335" ht="15.75" customHeight="1">
      <c r="A335" s="16"/>
      <c r="G335" s="17"/>
    </row>
    <row r="336" ht="15.75" customHeight="1">
      <c r="A336" s="16"/>
      <c r="G336" s="17"/>
    </row>
    <row r="337" ht="15.75" customHeight="1">
      <c r="A337" s="16"/>
      <c r="G337" s="17"/>
    </row>
    <row r="338" ht="15.75" customHeight="1">
      <c r="A338" s="16"/>
      <c r="G338" s="17"/>
    </row>
    <row r="339" ht="15.75" customHeight="1">
      <c r="A339" s="16"/>
      <c r="G339" s="17"/>
    </row>
    <row r="340" ht="15.75" customHeight="1">
      <c r="A340" s="16"/>
      <c r="G340" s="17"/>
    </row>
    <row r="341" ht="15.75" customHeight="1">
      <c r="A341" s="16"/>
      <c r="G341" s="17"/>
    </row>
    <row r="342" ht="15.75" customHeight="1">
      <c r="A342" s="16"/>
      <c r="G342" s="17"/>
    </row>
    <row r="343" ht="15.75" customHeight="1">
      <c r="A343" s="16"/>
      <c r="G343" s="17"/>
    </row>
    <row r="344" ht="15.75" customHeight="1">
      <c r="A344" s="16"/>
      <c r="G344" s="17"/>
    </row>
    <row r="345" ht="15.75" customHeight="1">
      <c r="A345" s="16"/>
      <c r="G345" s="17"/>
    </row>
    <row r="346" ht="15.75" customHeight="1">
      <c r="A346" s="16"/>
      <c r="G346" s="17"/>
    </row>
    <row r="347" ht="15.75" customHeight="1">
      <c r="A347" s="16"/>
      <c r="G347" s="17"/>
    </row>
    <row r="348" ht="15.75" customHeight="1">
      <c r="A348" s="16"/>
      <c r="G348" s="17"/>
    </row>
    <row r="349" ht="15.75" customHeight="1">
      <c r="A349" s="16"/>
      <c r="G349" s="17"/>
    </row>
    <row r="350" ht="15.75" customHeight="1">
      <c r="A350" s="16"/>
      <c r="G350" s="17"/>
    </row>
    <row r="351" ht="15.75" customHeight="1">
      <c r="A351" s="16"/>
      <c r="G351" s="17"/>
    </row>
    <row r="352" ht="15.75" customHeight="1">
      <c r="A352" s="16"/>
      <c r="G352" s="17"/>
    </row>
    <row r="353" ht="15.75" customHeight="1">
      <c r="A353" s="16"/>
      <c r="G353" s="17"/>
    </row>
    <row r="354" ht="15.75" customHeight="1">
      <c r="A354" s="16"/>
      <c r="G354" s="17"/>
    </row>
    <row r="355" ht="15.75" customHeight="1">
      <c r="A355" s="16"/>
      <c r="G355" s="17"/>
    </row>
    <row r="356" ht="15.75" customHeight="1">
      <c r="A356" s="16"/>
      <c r="G356" s="17"/>
    </row>
    <row r="357" ht="15.75" customHeight="1">
      <c r="A357" s="16"/>
      <c r="G357" s="17"/>
    </row>
    <row r="358" ht="15.75" customHeight="1">
      <c r="A358" s="16"/>
      <c r="G358" s="17"/>
    </row>
    <row r="359" ht="15.75" customHeight="1">
      <c r="A359" s="16"/>
      <c r="G359" s="17"/>
    </row>
    <row r="360" ht="15.75" customHeight="1">
      <c r="A360" s="16"/>
      <c r="G360" s="17"/>
    </row>
    <row r="361" ht="15.75" customHeight="1">
      <c r="A361" s="16"/>
      <c r="G361" s="17"/>
    </row>
    <row r="362" ht="15.75" customHeight="1">
      <c r="A362" s="16"/>
      <c r="G362" s="17"/>
    </row>
    <row r="363" ht="15.75" customHeight="1">
      <c r="A363" s="16"/>
      <c r="G363" s="17"/>
    </row>
    <row r="364" ht="15.75" customHeight="1">
      <c r="A364" s="16"/>
      <c r="G364" s="17"/>
    </row>
    <row r="365" ht="15.75" customHeight="1">
      <c r="A365" s="16"/>
      <c r="G365" s="17"/>
    </row>
    <row r="366" ht="15.75" customHeight="1">
      <c r="A366" s="16"/>
      <c r="G366" s="17"/>
    </row>
    <row r="367" ht="15.75" customHeight="1">
      <c r="A367" s="16"/>
      <c r="G367" s="17"/>
    </row>
    <row r="368" ht="15.75" customHeight="1">
      <c r="A368" s="16"/>
      <c r="G368" s="17"/>
    </row>
    <row r="369" ht="15.75" customHeight="1">
      <c r="A369" s="16"/>
      <c r="G369" s="17"/>
    </row>
    <row r="370" ht="15.75" customHeight="1">
      <c r="A370" s="16"/>
      <c r="G370" s="17"/>
    </row>
    <row r="371" ht="15.75" customHeight="1">
      <c r="A371" s="16"/>
      <c r="G371" s="17"/>
    </row>
    <row r="372" ht="15.75" customHeight="1">
      <c r="A372" s="16"/>
      <c r="G372" s="17"/>
    </row>
    <row r="373" ht="15.75" customHeight="1">
      <c r="A373" s="16"/>
      <c r="G373" s="17"/>
    </row>
    <row r="374" ht="15.75" customHeight="1">
      <c r="A374" s="16"/>
      <c r="G374" s="17"/>
    </row>
    <row r="375" ht="15.75" customHeight="1">
      <c r="A375" s="16"/>
      <c r="G375" s="17"/>
    </row>
    <row r="376" ht="15.75" customHeight="1">
      <c r="A376" s="16"/>
      <c r="G376" s="17"/>
    </row>
    <row r="377" ht="15.75" customHeight="1">
      <c r="A377" s="16"/>
      <c r="G377" s="17"/>
    </row>
    <row r="378" ht="15.75" customHeight="1">
      <c r="A378" s="16"/>
      <c r="G378" s="17"/>
    </row>
    <row r="379" ht="15.75" customHeight="1">
      <c r="A379" s="16"/>
      <c r="G379" s="17"/>
    </row>
    <row r="380" ht="15.75" customHeight="1">
      <c r="A380" s="16"/>
      <c r="G380" s="17"/>
    </row>
    <row r="381" ht="15.75" customHeight="1">
      <c r="A381" s="16"/>
      <c r="G381" s="17"/>
    </row>
    <row r="382" ht="15.75" customHeight="1">
      <c r="A382" s="16"/>
      <c r="G382" s="17"/>
    </row>
    <row r="383" ht="15.75" customHeight="1">
      <c r="A383" s="16"/>
      <c r="G383" s="17"/>
    </row>
    <row r="384" ht="15.75" customHeight="1">
      <c r="A384" s="16"/>
      <c r="G384" s="17"/>
    </row>
    <row r="385" ht="15.75" customHeight="1">
      <c r="A385" s="16"/>
      <c r="G385" s="17"/>
    </row>
    <row r="386" ht="15.75" customHeight="1">
      <c r="A386" s="16"/>
      <c r="G386" s="17"/>
    </row>
    <row r="387" ht="15.75" customHeight="1">
      <c r="A387" s="16"/>
      <c r="G387" s="17"/>
    </row>
    <row r="388" ht="15.75" customHeight="1">
      <c r="A388" s="16"/>
      <c r="G388" s="17"/>
    </row>
    <row r="389" ht="15.75" customHeight="1">
      <c r="A389" s="16"/>
      <c r="G389" s="17"/>
    </row>
    <row r="390" ht="15.75" customHeight="1">
      <c r="A390" s="16"/>
      <c r="G390" s="17"/>
    </row>
    <row r="391" ht="15.75" customHeight="1">
      <c r="A391" s="16"/>
      <c r="G391" s="17"/>
    </row>
    <row r="392" ht="15.75" customHeight="1">
      <c r="A392" s="16"/>
      <c r="G392" s="17"/>
    </row>
    <row r="393" ht="15.75" customHeight="1">
      <c r="A393" s="16"/>
      <c r="G393" s="17"/>
    </row>
    <row r="394" ht="15.75" customHeight="1">
      <c r="A394" s="16"/>
      <c r="G394" s="17"/>
    </row>
    <row r="395" ht="15.75" customHeight="1">
      <c r="A395" s="16"/>
      <c r="G395" s="17"/>
    </row>
    <row r="396" ht="15.75" customHeight="1">
      <c r="A396" s="16"/>
      <c r="G396" s="17"/>
    </row>
    <row r="397" ht="15.75" customHeight="1">
      <c r="A397" s="16"/>
      <c r="G397" s="17"/>
    </row>
    <row r="398" ht="15.75" customHeight="1">
      <c r="A398" s="16"/>
      <c r="G398" s="17"/>
    </row>
    <row r="399" ht="15.75" customHeight="1">
      <c r="A399" s="16"/>
      <c r="G399" s="17"/>
    </row>
    <row r="400" ht="15.75" customHeight="1">
      <c r="A400" s="16"/>
      <c r="G400" s="17"/>
    </row>
    <row r="401" ht="15.75" customHeight="1">
      <c r="G401" s="17"/>
    </row>
    <row r="402" ht="15.75" customHeight="1">
      <c r="G402" s="17"/>
    </row>
    <row r="403" ht="15.75" customHeight="1">
      <c r="G403" s="17"/>
    </row>
    <row r="404" ht="15.75" customHeight="1">
      <c r="G404" s="17"/>
    </row>
    <row r="405" ht="15.75" customHeight="1">
      <c r="G405" s="17"/>
    </row>
    <row r="406" ht="15.75" customHeight="1">
      <c r="G406" s="17"/>
    </row>
    <row r="407" ht="15.75" customHeight="1">
      <c r="G407" s="17"/>
    </row>
    <row r="408" ht="15.75" customHeight="1">
      <c r="G408" s="17"/>
    </row>
    <row r="409" ht="15.75" customHeight="1">
      <c r="G409" s="17"/>
    </row>
    <row r="410" ht="15.75" customHeight="1">
      <c r="G410" s="17"/>
    </row>
    <row r="411" ht="15.75" customHeight="1">
      <c r="G411" s="17"/>
    </row>
    <row r="412" ht="15.75" customHeight="1">
      <c r="G412" s="17"/>
    </row>
    <row r="413" ht="15.75" customHeight="1">
      <c r="G413" s="17"/>
    </row>
    <row r="414" ht="15.75" customHeight="1">
      <c r="G414" s="17"/>
    </row>
    <row r="415" ht="15.75" customHeight="1">
      <c r="G415" s="17"/>
    </row>
    <row r="416" ht="15.75" customHeight="1">
      <c r="G416" s="17"/>
    </row>
    <row r="417" ht="15.75" customHeight="1">
      <c r="G417" s="17"/>
    </row>
    <row r="418" ht="15.75" customHeight="1">
      <c r="G418" s="17"/>
    </row>
    <row r="419" ht="15.75" customHeight="1">
      <c r="G419" s="17"/>
    </row>
    <row r="420" ht="15.75" customHeight="1">
      <c r="G420" s="17"/>
    </row>
    <row r="421" ht="15.75" customHeight="1">
      <c r="G421" s="17"/>
    </row>
    <row r="422" ht="15.75" customHeight="1">
      <c r="G422" s="17"/>
    </row>
    <row r="423" ht="15.75" customHeight="1">
      <c r="G423" s="17"/>
    </row>
    <row r="424" ht="15.75" customHeight="1">
      <c r="G424" s="17"/>
    </row>
    <row r="425" ht="15.75" customHeight="1">
      <c r="G425" s="17"/>
    </row>
    <row r="426" ht="15.75" customHeight="1">
      <c r="G426" s="17"/>
    </row>
    <row r="427" ht="15.75" customHeight="1">
      <c r="G427" s="17"/>
    </row>
    <row r="428" ht="15.75" customHeight="1">
      <c r="G428" s="17"/>
    </row>
    <row r="429" ht="15.75" customHeight="1">
      <c r="G429" s="17"/>
    </row>
    <row r="430" ht="15.75" customHeight="1">
      <c r="G430" s="17"/>
    </row>
    <row r="431" ht="15.75" customHeight="1">
      <c r="G431" s="17"/>
    </row>
    <row r="432" ht="15.75" customHeight="1">
      <c r="G432" s="17"/>
    </row>
    <row r="433" ht="15.75" customHeight="1">
      <c r="G433" s="17"/>
    </row>
    <row r="434" ht="15.75" customHeight="1">
      <c r="G434" s="17"/>
    </row>
    <row r="435" ht="15.75" customHeight="1">
      <c r="G435" s="17"/>
    </row>
    <row r="436" ht="15.75" customHeight="1">
      <c r="G436" s="17"/>
    </row>
    <row r="437" ht="15.75" customHeight="1">
      <c r="G437" s="17"/>
    </row>
    <row r="438" ht="15.75" customHeight="1">
      <c r="G438" s="17"/>
    </row>
    <row r="439" ht="15.75" customHeight="1">
      <c r="G439" s="17"/>
    </row>
    <row r="440" ht="15.75" customHeight="1">
      <c r="G440" s="17"/>
    </row>
    <row r="441" ht="15.75" customHeight="1">
      <c r="G441" s="17"/>
    </row>
    <row r="442" ht="15.75" customHeight="1">
      <c r="G442" s="17"/>
    </row>
    <row r="443" ht="15.75" customHeight="1">
      <c r="G443" s="17"/>
    </row>
    <row r="444" ht="15.75" customHeight="1">
      <c r="G444" s="17"/>
    </row>
    <row r="445" ht="15.75" customHeight="1">
      <c r="G445" s="17"/>
    </row>
    <row r="446" ht="15.75" customHeight="1">
      <c r="G446" s="17"/>
    </row>
    <row r="447" ht="15.75" customHeight="1">
      <c r="G447" s="17"/>
    </row>
    <row r="448" ht="15.75" customHeight="1">
      <c r="G448" s="17"/>
    </row>
    <row r="449" ht="15.75" customHeight="1">
      <c r="G449" s="17"/>
    </row>
    <row r="450" ht="15.75" customHeight="1">
      <c r="G450" s="17"/>
    </row>
    <row r="451" ht="15.75" customHeight="1">
      <c r="G451" s="17"/>
    </row>
    <row r="452" ht="15.75" customHeight="1">
      <c r="G452" s="17"/>
    </row>
    <row r="453" ht="15.75" customHeight="1">
      <c r="G453" s="17"/>
    </row>
    <row r="454" ht="15.75" customHeight="1">
      <c r="G454" s="17"/>
    </row>
    <row r="455" ht="15.75" customHeight="1">
      <c r="G455" s="17"/>
    </row>
    <row r="456" ht="15.75" customHeight="1">
      <c r="G456" s="17"/>
    </row>
    <row r="457" ht="15.75" customHeight="1">
      <c r="G457" s="17"/>
    </row>
    <row r="458" ht="15.75" customHeight="1">
      <c r="G458" s="17"/>
    </row>
    <row r="459" ht="15.75" customHeight="1">
      <c r="G459" s="17"/>
    </row>
    <row r="460" ht="15.75" customHeight="1">
      <c r="G460" s="17"/>
    </row>
    <row r="461" ht="15.75" customHeight="1">
      <c r="G461" s="17"/>
    </row>
    <row r="462" ht="15.75" customHeight="1">
      <c r="G462" s="17"/>
    </row>
    <row r="463" ht="15.75" customHeight="1">
      <c r="G463" s="17"/>
    </row>
    <row r="464" ht="15.75" customHeight="1">
      <c r="G464" s="17"/>
    </row>
    <row r="465" ht="15.75" customHeight="1">
      <c r="G465" s="17"/>
    </row>
    <row r="466" ht="15.75" customHeight="1">
      <c r="G466" s="17"/>
    </row>
    <row r="467" ht="15.75" customHeight="1">
      <c r="G467" s="17"/>
    </row>
    <row r="468" ht="15.75" customHeight="1">
      <c r="G468" s="17"/>
    </row>
    <row r="469" ht="15.75" customHeight="1">
      <c r="G469" s="17"/>
    </row>
    <row r="470" ht="15.75" customHeight="1">
      <c r="G470" s="17"/>
    </row>
    <row r="471" ht="15.75" customHeight="1">
      <c r="G471" s="17"/>
    </row>
    <row r="472" ht="15.75" customHeight="1">
      <c r="G472" s="17"/>
    </row>
    <row r="473" ht="15.75" customHeight="1">
      <c r="G473" s="17"/>
    </row>
    <row r="474" ht="15.75" customHeight="1">
      <c r="G474" s="17"/>
    </row>
    <row r="475" ht="15.75" customHeight="1">
      <c r="G475" s="17"/>
    </row>
    <row r="476" ht="15.75" customHeight="1">
      <c r="G476" s="17"/>
    </row>
    <row r="477" ht="15.75" customHeight="1">
      <c r="G477" s="17"/>
    </row>
    <row r="478" ht="15.75" customHeight="1">
      <c r="G478" s="17"/>
    </row>
    <row r="479" ht="15.75" customHeight="1">
      <c r="G479" s="17"/>
    </row>
    <row r="480" ht="15.75" customHeight="1">
      <c r="G480" s="17"/>
    </row>
    <row r="481" ht="15.75" customHeight="1">
      <c r="G481" s="17"/>
    </row>
    <row r="482" ht="15.75" customHeight="1">
      <c r="G482" s="17"/>
    </row>
    <row r="483" ht="15.75" customHeight="1">
      <c r="G483" s="17"/>
    </row>
    <row r="484" ht="15.75" customHeight="1">
      <c r="G484" s="17"/>
    </row>
    <row r="485" ht="15.75" customHeight="1">
      <c r="G485" s="17"/>
    </row>
    <row r="486" ht="15.75" customHeight="1">
      <c r="G486" s="17"/>
    </row>
    <row r="487" ht="15.75" customHeight="1">
      <c r="G487" s="17"/>
    </row>
    <row r="488" ht="15.75" customHeight="1">
      <c r="G488" s="17"/>
    </row>
    <row r="489" ht="15.75" customHeight="1">
      <c r="G489" s="17"/>
    </row>
    <row r="490" ht="15.75" customHeight="1">
      <c r="G490" s="17"/>
    </row>
    <row r="491" ht="15.75" customHeight="1">
      <c r="G491" s="17"/>
    </row>
    <row r="492" ht="15.75" customHeight="1">
      <c r="G492" s="17"/>
    </row>
    <row r="493" ht="15.75" customHeight="1">
      <c r="G493" s="17"/>
    </row>
    <row r="494" ht="15.75" customHeight="1">
      <c r="G494" s="17"/>
    </row>
    <row r="495" ht="15.75" customHeight="1">
      <c r="G495" s="17"/>
    </row>
    <row r="496" ht="15.75" customHeight="1">
      <c r="G496" s="17"/>
    </row>
    <row r="497" ht="15.75" customHeight="1">
      <c r="G497" s="17"/>
    </row>
    <row r="498" ht="15.75" customHeight="1">
      <c r="G498" s="17"/>
    </row>
    <row r="499" ht="15.75" customHeight="1">
      <c r="G499" s="17"/>
    </row>
    <row r="500" ht="15.75" customHeight="1">
      <c r="G500" s="17"/>
    </row>
    <row r="501" ht="15.75" customHeight="1">
      <c r="G501" s="17"/>
    </row>
    <row r="502" ht="15.75" customHeight="1">
      <c r="G502" s="17"/>
    </row>
    <row r="503" ht="15.75" customHeight="1">
      <c r="G503" s="17"/>
    </row>
    <row r="504" ht="15.75" customHeight="1">
      <c r="G504" s="17"/>
    </row>
    <row r="505" ht="15.75" customHeight="1">
      <c r="G505" s="17"/>
    </row>
    <row r="506" ht="15.75" customHeight="1">
      <c r="G506" s="17"/>
    </row>
    <row r="507" ht="15.75" customHeight="1">
      <c r="G507" s="17"/>
    </row>
    <row r="508" ht="15.75" customHeight="1">
      <c r="G508" s="17"/>
    </row>
    <row r="509" ht="15.75" customHeight="1">
      <c r="G509" s="17"/>
    </row>
    <row r="510" ht="15.75" customHeight="1">
      <c r="G510" s="17"/>
    </row>
    <row r="511" ht="15.75" customHeight="1">
      <c r="G511" s="17"/>
    </row>
    <row r="512" ht="15.75" customHeight="1">
      <c r="G512" s="17"/>
    </row>
    <row r="513" ht="15.75" customHeight="1">
      <c r="G513" s="17"/>
    </row>
    <row r="514" ht="15.75" customHeight="1">
      <c r="G514" s="17"/>
    </row>
    <row r="515" ht="15.75" customHeight="1">
      <c r="G515" s="17"/>
    </row>
    <row r="516" ht="15.75" customHeight="1">
      <c r="G516" s="17"/>
    </row>
    <row r="517" ht="15.75" customHeight="1">
      <c r="G517" s="17"/>
    </row>
    <row r="518" ht="15.75" customHeight="1">
      <c r="G518" s="17"/>
    </row>
    <row r="519" ht="15.75" customHeight="1">
      <c r="G519" s="17"/>
    </row>
    <row r="520" ht="15.75" customHeight="1">
      <c r="G520" s="17"/>
    </row>
    <row r="521" ht="15.75" customHeight="1">
      <c r="G521" s="17"/>
    </row>
    <row r="522" ht="15.75" customHeight="1">
      <c r="G522" s="17"/>
    </row>
    <row r="523" ht="15.75" customHeight="1">
      <c r="G523" s="17"/>
    </row>
    <row r="524" ht="15.75" customHeight="1">
      <c r="G524" s="17"/>
    </row>
    <row r="525" ht="15.75" customHeight="1">
      <c r="G525" s="17"/>
    </row>
    <row r="526" ht="15.75" customHeight="1">
      <c r="G526" s="17"/>
    </row>
    <row r="527" ht="15.75" customHeight="1">
      <c r="G527" s="17"/>
    </row>
    <row r="528" ht="15.75" customHeight="1">
      <c r="G528" s="17"/>
    </row>
    <row r="529" ht="15.75" customHeight="1">
      <c r="G529" s="17"/>
    </row>
    <row r="530" ht="15.75" customHeight="1">
      <c r="G530" s="17"/>
    </row>
    <row r="531" ht="15.75" customHeight="1">
      <c r="G531" s="17"/>
    </row>
    <row r="532" ht="15.75" customHeight="1">
      <c r="G532" s="17"/>
    </row>
    <row r="533" ht="15.75" customHeight="1">
      <c r="G533" s="17"/>
    </row>
    <row r="534" ht="15.75" customHeight="1">
      <c r="G534" s="17"/>
    </row>
    <row r="535" ht="15.75" customHeight="1">
      <c r="G535" s="17"/>
    </row>
    <row r="536" ht="15.75" customHeight="1">
      <c r="G536" s="17"/>
    </row>
    <row r="537" ht="15.75" customHeight="1">
      <c r="G537" s="17"/>
    </row>
    <row r="538" ht="15.75" customHeight="1">
      <c r="G538" s="17"/>
    </row>
    <row r="539" ht="15.75" customHeight="1">
      <c r="G539" s="17"/>
    </row>
    <row r="540" ht="15.75" customHeight="1">
      <c r="G540" s="17"/>
    </row>
    <row r="541" ht="15.75" customHeight="1">
      <c r="G541" s="17"/>
    </row>
    <row r="542" ht="15.75" customHeight="1">
      <c r="G542" s="17"/>
    </row>
    <row r="543" ht="15.75" customHeight="1">
      <c r="G543" s="17"/>
    </row>
    <row r="544" ht="15.75" customHeight="1">
      <c r="G544" s="17"/>
    </row>
    <row r="545" ht="15.75" customHeight="1">
      <c r="G545" s="17"/>
    </row>
    <row r="546" ht="15.75" customHeight="1">
      <c r="G546" s="17"/>
    </row>
    <row r="547" ht="15.75" customHeight="1">
      <c r="G547" s="17"/>
    </row>
    <row r="548" ht="15.75" customHeight="1">
      <c r="G548" s="17"/>
    </row>
    <row r="549" ht="15.75" customHeight="1">
      <c r="G549" s="17"/>
    </row>
    <row r="550" ht="15.75" customHeight="1">
      <c r="G550" s="17"/>
    </row>
    <row r="551" ht="15.75" customHeight="1">
      <c r="G551" s="17"/>
    </row>
    <row r="552" ht="15.75" customHeight="1">
      <c r="G552" s="17"/>
    </row>
    <row r="553" ht="15.75" customHeight="1">
      <c r="G553" s="17"/>
    </row>
    <row r="554" ht="15.75" customHeight="1">
      <c r="G554" s="17"/>
    </row>
    <row r="555" ht="15.75" customHeight="1">
      <c r="G555" s="17"/>
    </row>
    <row r="556" ht="15.75" customHeight="1">
      <c r="G556" s="17"/>
    </row>
    <row r="557" ht="15.75" customHeight="1">
      <c r="G557" s="17"/>
    </row>
    <row r="558" ht="15.75" customHeight="1">
      <c r="G558" s="17"/>
    </row>
    <row r="559" ht="15.75" customHeight="1">
      <c r="G559" s="17"/>
    </row>
    <row r="560" ht="15.75" customHeight="1">
      <c r="G560" s="17"/>
    </row>
    <row r="561" ht="15.75" customHeight="1">
      <c r="G561" s="17"/>
    </row>
    <row r="562" ht="15.75" customHeight="1">
      <c r="G562" s="17"/>
    </row>
    <row r="563" ht="15.75" customHeight="1">
      <c r="G563" s="17"/>
    </row>
    <row r="564" ht="15.75" customHeight="1">
      <c r="G564" s="17"/>
    </row>
    <row r="565" ht="15.75" customHeight="1">
      <c r="G565" s="17"/>
    </row>
    <row r="566" ht="15.75" customHeight="1">
      <c r="G566" s="17"/>
    </row>
    <row r="567" ht="15.75" customHeight="1">
      <c r="G567" s="17"/>
    </row>
    <row r="568" ht="15.75" customHeight="1">
      <c r="G568" s="17"/>
    </row>
    <row r="569" ht="15.75" customHeight="1">
      <c r="G569" s="17"/>
    </row>
    <row r="570" ht="15.75" customHeight="1">
      <c r="G570" s="17"/>
    </row>
    <row r="571" ht="15.75" customHeight="1">
      <c r="G571" s="17"/>
    </row>
    <row r="572" ht="15.75" customHeight="1">
      <c r="G572" s="17"/>
    </row>
    <row r="573" ht="15.75" customHeight="1">
      <c r="G573" s="17"/>
    </row>
    <row r="574" ht="15.75" customHeight="1">
      <c r="G574" s="17"/>
    </row>
    <row r="575" ht="15.75" customHeight="1">
      <c r="G575" s="17"/>
    </row>
    <row r="576" ht="15.75" customHeight="1">
      <c r="G576" s="17"/>
    </row>
    <row r="577" ht="15.75" customHeight="1">
      <c r="G577" s="17"/>
    </row>
    <row r="578" ht="15.75" customHeight="1">
      <c r="G578" s="17"/>
    </row>
    <row r="579" ht="15.75" customHeight="1">
      <c r="G579" s="17"/>
    </row>
    <row r="580" ht="15.75" customHeight="1">
      <c r="G580" s="17"/>
    </row>
    <row r="581" ht="15.75" customHeight="1">
      <c r="G581" s="17"/>
    </row>
    <row r="582" ht="15.75" customHeight="1">
      <c r="G582" s="17"/>
    </row>
    <row r="583" ht="15.75" customHeight="1">
      <c r="G583" s="17"/>
    </row>
    <row r="584" ht="15.75" customHeight="1">
      <c r="G584" s="17"/>
    </row>
    <row r="585" ht="15.75" customHeight="1">
      <c r="G585" s="17"/>
    </row>
    <row r="586" ht="15.75" customHeight="1">
      <c r="G586" s="17"/>
    </row>
    <row r="587" ht="15.75" customHeight="1">
      <c r="G587" s="17"/>
    </row>
    <row r="588" ht="15.75" customHeight="1">
      <c r="G588" s="17"/>
    </row>
    <row r="589" ht="15.75" customHeight="1">
      <c r="G589" s="17"/>
    </row>
    <row r="590" ht="15.75" customHeight="1">
      <c r="G590" s="17"/>
    </row>
    <row r="591" ht="15.75" customHeight="1">
      <c r="G591" s="17"/>
    </row>
    <row r="592" ht="15.75" customHeight="1">
      <c r="G592" s="17"/>
    </row>
    <row r="593" ht="15.75" customHeight="1">
      <c r="G593" s="17"/>
    </row>
    <row r="594" ht="15.75" customHeight="1">
      <c r="G594" s="17"/>
    </row>
    <row r="595" ht="15.75" customHeight="1">
      <c r="G595" s="17"/>
    </row>
    <row r="596" ht="15.75" customHeight="1">
      <c r="G596" s="17"/>
    </row>
    <row r="597" ht="15.75" customHeight="1">
      <c r="G597" s="17"/>
    </row>
    <row r="598" ht="15.75" customHeight="1">
      <c r="G598" s="17"/>
    </row>
    <row r="599" ht="15.75" customHeight="1">
      <c r="G599" s="17"/>
    </row>
    <row r="600" ht="15.75" customHeight="1">
      <c r="G600" s="17"/>
    </row>
    <row r="601" ht="15.75" customHeight="1">
      <c r="G601" s="17"/>
    </row>
    <row r="602" ht="15.75" customHeight="1">
      <c r="G602" s="17"/>
    </row>
    <row r="603" ht="15.75" customHeight="1">
      <c r="G603" s="17"/>
    </row>
    <row r="604" ht="15.75" customHeight="1">
      <c r="G604" s="17"/>
    </row>
    <row r="605" ht="15.75" customHeight="1">
      <c r="G605" s="17"/>
    </row>
    <row r="606" ht="15.75" customHeight="1">
      <c r="G606" s="17"/>
    </row>
    <row r="607" ht="15.75" customHeight="1">
      <c r="G607" s="17"/>
    </row>
    <row r="608" ht="15.75" customHeight="1">
      <c r="G608" s="17"/>
    </row>
    <row r="609" ht="15.75" customHeight="1">
      <c r="G609" s="17"/>
    </row>
    <row r="610" ht="15.75" customHeight="1">
      <c r="G610" s="17"/>
    </row>
    <row r="611" ht="15.75" customHeight="1">
      <c r="G611" s="17"/>
    </row>
    <row r="612" ht="15.75" customHeight="1">
      <c r="G612" s="17"/>
    </row>
    <row r="613" ht="15.75" customHeight="1">
      <c r="G613" s="17"/>
    </row>
    <row r="614" ht="15.75" customHeight="1">
      <c r="G614" s="17"/>
    </row>
    <row r="615" ht="15.75" customHeight="1">
      <c r="G615" s="17"/>
    </row>
    <row r="616" ht="15.75" customHeight="1">
      <c r="G616" s="17"/>
    </row>
    <row r="617" ht="15.75" customHeight="1">
      <c r="G617" s="17"/>
    </row>
    <row r="618" ht="15.75" customHeight="1">
      <c r="G618" s="17"/>
    </row>
    <row r="619" ht="15.75" customHeight="1">
      <c r="G619" s="17"/>
    </row>
    <row r="620" ht="15.75" customHeight="1">
      <c r="G620" s="17"/>
    </row>
    <row r="621" ht="15.75" customHeight="1">
      <c r="G621" s="17"/>
    </row>
    <row r="622" ht="15.75" customHeight="1">
      <c r="G622" s="17"/>
    </row>
    <row r="623" ht="15.75" customHeight="1">
      <c r="G623" s="17"/>
    </row>
    <row r="624" ht="15.75" customHeight="1">
      <c r="G624" s="17"/>
    </row>
    <row r="625" ht="15.75" customHeight="1">
      <c r="G625" s="17"/>
    </row>
    <row r="626" ht="15.75" customHeight="1">
      <c r="G626" s="17"/>
    </row>
    <row r="627" ht="15.75" customHeight="1">
      <c r="G627" s="17"/>
    </row>
    <row r="628" ht="15.75" customHeight="1">
      <c r="G628" s="17"/>
    </row>
    <row r="629" ht="15.75" customHeight="1">
      <c r="G629" s="17"/>
    </row>
    <row r="630" ht="15.75" customHeight="1">
      <c r="G630" s="17"/>
    </row>
    <row r="631" ht="15.75" customHeight="1">
      <c r="G631" s="17"/>
    </row>
    <row r="632" ht="15.75" customHeight="1">
      <c r="G632" s="17"/>
    </row>
    <row r="633" ht="15.75" customHeight="1">
      <c r="G633" s="17"/>
    </row>
    <row r="634" ht="15.75" customHeight="1">
      <c r="G634" s="17"/>
    </row>
    <row r="635" ht="15.75" customHeight="1">
      <c r="G635" s="17"/>
    </row>
    <row r="636" ht="15.75" customHeight="1">
      <c r="G636" s="17"/>
    </row>
    <row r="637" ht="15.75" customHeight="1">
      <c r="G637" s="17"/>
    </row>
    <row r="638" ht="15.75" customHeight="1">
      <c r="G638" s="17"/>
    </row>
    <row r="639" ht="15.75" customHeight="1">
      <c r="G639" s="17"/>
    </row>
    <row r="640" ht="15.75" customHeight="1">
      <c r="G640" s="17"/>
    </row>
    <row r="641" ht="15.75" customHeight="1">
      <c r="G641" s="17"/>
    </row>
    <row r="642" ht="15.75" customHeight="1">
      <c r="G642" s="17"/>
    </row>
    <row r="643" ht="15.75" customHeight="1">
      <c r="G643" s="17"/>
    </row>
    <row r="644" ht="15.75" customHeight="1">
      <c r="G644" s="17"/>
    </row>
    <row r="645" ht="15.75" customHeight="1">
      <c r="G645" s="17"/>
    </row>
    <row r="646" ht="15.75" customHeight="1">
      <c r="G646" s="17"/>
    </row>
    <row r="647" ht="15.75" customHeight="1">
      <c r="G647" s="17"/>
    </row>
    <row r="648" ht="15.75" customHeight="1">
      <c r="G648" s="17"/>
    </row>
    <row r="649" ht="15.75" customHeight="1">
      <c r="G649" s="17"/>
    </row>
    <row r="650" ht="15.75" customHeight="1">
      <c r="G650" s="17"/>
    </row>
    <row r="651" ht="15.75" customHeight="1">
      <c r="G651" s="17"/>
    </row>
    <row r="652" ht="15.75" customHeight="1">
      <c r="G652" s="17"/>
    </row>
    <row r="653" ht="15.75" customHeight="1">
      <c r="G653" s="17"/>
    </row>
    <row r="654" ht="15.75" customHeight="1">
      <c r="G654" s="17"/>
    </row>
    <row r="655" ht="15.75" customHeight="1">
      <c r="G655" s="17"/>
    </row>
    <row r="656" ht="15.75" customHeight="1">
      <c r="G656" s="17"/>
    </row>
    <row r="657" ht="15.75" customHeight="1">
      <c r="G657" s="17"/>
    </row>
    <row r="658" ht="15.75" customHeight="1">
      <c r="G658" s="17"/>
    </row>
    <row r="659" ht="15.75" customHeight="1">
      <c r="G659" s="17"/>
    </row>
    <row r="660" ht="15.75" customHeight="1">
      <c r="G660" s="17"/>
    </row>
    <row r="661" ht="15.75" customHeight="1">
      <c r="G661" s="17"/>
    </row>
    <row r="662" ht="15.75" customHeight="1">
      <c r="G662" s="17"/>
    </row>
    <row r="663" ht="15.75" customHeight="1">
      <c r="G663" s="17"/>
    </row>
    <row r="664" ht="15.75" customHeight="1">
      <c r="G664" s="17"/>
    </row>
    <row r="665" ht="15.75" customHeight="1">
      <c r="G665" s="17"/>
    </row>
    <row r="666" ht="15.75" customHeight="1">
      <c r="G666" s="17"/>
    </row>
    <row r="667" ht="15.75" customHeight="1">
      <c r="G667" s="17"/>
    </row>
    <row r="668" ht="15.75" customHeight="1">
      <c r="G668" s="17"/>
    </row>
    <row r="669" ht="15.75" customHeight="1">
      <c r="G669" s="17"/>
    </row>
    <row r="670" ht="15.75" customHeight="1">
      <c r="G670" s="17"/>
    </row>
    <row r="671" ht="15.75" customHeight="1">
      <c r="G671" s="17"/>
    </row>
    <row r="672" ht="15.75" customHeight="1">
      <c r="G672" s="17"/>
    </row>
    <row r="673" ht="15.75" customHeight="1">
      <c r="G673" s="17"/>
    </row>
    <row r="674" ht="15.75" customHeight="1">
      <c r="G674" s="17"/>
    </row>
    <row r="675" ht="15.75" customHeight="1">
      <c r="G675" s="17"/>
    </row>
    <row r="676" ht="15.75" customHeight="1">
      <c r="G676" s="17"/>
    </row>
    <row r="677" ht="15.75" customHeight="1">
      <c r="G677" s="17"/>
    </row>
    <row r="678" ht="15.75" customHeight="1">
      <c r="G678" s="17"/>
    </row>
    <row r="679" ht="15.75" customHeight="1">
      <c r="G679" s="17"/>
    </row>
    <row r="680" ht="15.75" customHeight="1">
      <c r="G680" s="17"/>
    </row>
    <row r="681" ht="15.75" customHeight="1">
      <c r="G681" s="17"/>
    </row>
    <row r="682" ht="15.75" customHeight="1">
      <c r="G682" s="17"/>
    </row>
    <row r="683" ht="15.75" customHeight="1">
      <c r="G683" s="17"/>
    </row>
    <row r="684" ht="15.75" customHeight="1">
      <c r="G684" s="17"/>
    </row>
    <row r="685" ht="15.75" customHeight="1">
      <c r="G685" s="17"/>
    </row>
    <row r="686" ht="15.75" customHeight="1">
      <c r="G686" s="17"/>
    </row>
    <row r="687" ht="15.75" customHeight="1">
      <c r="G687" s="17"/>
    </row>
    <row r="688" ht="15.75" customHeight="1">
      <c r="G688" s="17"/>
    </row>
    <row r="689" ht="15.75" customHeight="1">
      <c r="G689" s="17"/>
    </row>
    <row r="690" ht="15.75" customHeight="1">
      <c r="G690" s="17"/>
    </row>
    <row r="691" ht="15.75" customHeight="1">
      <c r="G691" s="17"/>
    </row>
    <row r="692" ht="15.75" customHeight="1">
      <c r="G692" s="17"/>
    </row>
    <row r="693" ht="15.75" customHeight="1">
      <c r="G693" s="17"/>
    </row>
    <row r="694" ht="15.75" customHeight="1">
      <c r="G694" s="17"/>
    </row>
    <row r="695" ht="15.75" customHeight="1">
      <c r="G695" s="17"/>
    </row>
    <row r="696" ht="15.75" customHeight="1">
      <c r="G696" s="17"/>
    </row>
    <row r="697" ht="15.75" customHeight="1">
      <c r="G697" s="17"/>
    </row>
    <row r="698" ht="15.75" customHeight="1">
      <c r="G698" s="17"/>
    </row>
    <row r="699" ht="15.75" customHeight="1">
      <c r="G699" s="17"/>
    </row>
    <row r="700" ht="15.75" customHeight="1">
      <c r="G700" s="17"/>
    </row>
    <row r="701" ht="15.75" customHeight="1">
      <c r="G701" s="17"/>
    </row>
    <row r="702" ht="15.75" customHeight="1">
      <c r="G702" s="17"/>
    </row>
    <row r="703" ht="15.75" customHeight="1">
      <c r="G703" s="17"/>
    </row>
    <row r="704" ht="15.75" customHeight="1">
      <c r="G704" s="17"/>
    </row>
    <row r="705" ht="15.75" customHeight="1">
      <c r="G705" s="17"/>
    </row>
    <row r="706" ht="15.75" customHeight="1">
      <c r="G706" s="17"/>
    </row>
    <row r="707" ht="15.75" customHeight="1">
      <c r="G707" s="17"/>
    </row>
    <row r="708" ht="15.75" customHeight="1">
      <c r="G708" s="17"/>
    </row>
    <row r="709" ht="15.75" customHeight="1">
      <c r="G709" s="17"/>
    </row>
    <row r="710" ht="15.75" customHeight="1">
      <c r="G710" s="17"/>
    </row>
    <row r="711" ht="15.75" customHeight="1">
      <c r="G711" s="17"/>
    </row>
    <row r="712" ht="15.75" customHeight="1">
      <c r="G712" s="17"/>
    </row>
    <row r="713" ht="15.75" customHeight="1">
      <c r="G713" s="17"/>
    </row>
    <row r="714" ht="15.75" customHeight="1">
      <c r="G714" s="17"/>
    </row>
    <row r="715" ht="15.75" customHeight="1">
      <c r="G715" s="17"/>
    </row>
    <row r="716" ht="15.75" customHeight="1">
      <c r="G716" s="17"/>
    </row>
    <row r="717" ht="15.75" customHeight="1">
      <c r="G717" s="17"/>
    </row>
    <row r="718" ht="15.75" customHeight="1">
      <c r="G718" s="17"/>
    </row>
    <row r="719" ht="15.75" customHeight="1">
      <c r="G719" s="17"/>
    </row>
    <row r="720" ht="15.75" customHeight="1">
      <c r="G720" s="17"/>
    </row>
    <row r="721" ht="15.75" customHeight="1">
      <c r="G721" s="17"/>
    </row>
    <row r="722" ht="15.75" customHeight="1">
      <c r="G722" s="17"/>
    </row>
    <row r="723" ht="15.75" customHeight="1">
      <c r="G723" s="17"/>
    </row>
    <row r="724" ht="15.75" customHeight="1">
      <c r="G724" s="17"/>
    </row>
    <row r="725" ht="15.75" customHeight="1">
      <c r="G725" s="17"/>
    </row>
    <row r="726" ht="15.75" customHeight="1">
      <c r="G726" s="17"/>
    </row>
    <row r="727" ht="15.75" customHeight="1">
      <c r="G727" s="17"/>
    </row>
    <row r="728" ht="15.75" customHeight="1">
      <c r="G728" s="17"/>
    </row>
    <row r="729" ht="15.75" customHeight="1">
      <c r="G729" s="17"/>
    </row>
    <row r="730" ht="15.75" customHeight="1">
      <c r="G730" s="17"/>
    </row>
    <row r="731" ht="15.75" customHeight="1">
      <c r="G731" s="17"/>
    </row>
    <row r="732" ht="15.75" customHeight="1">
      <c r="G732" s="17"/>
    </row>
    <row r="733" ht="15.75" customHeight="1">
      <c r="G733" s="17"/>
    </row>
    <row r="734" ht="15.75" customHeight="1">
      <c r="G734" s="17"/>
    </row>
    <row r="735" ht="15.75" customHeight="1">
      <c r="G735" s="17"/>
    </row>
    <row r="736" ht="15.75" customHeight="1">
      <c r="G736" s="17"/>
    </row>
    <row r="737" ht="15.75" customHeight="1">
      <c r="G737" s="17"/>
    </row>
    <row r="738" ht="15.75" customHeight="1">
      <c r="G738" s="17"/>
    </row>
    <row r="739" ht="15.75" customHeight="1">
      <c r="G739" s="17"/>
    </row>
    <row r="740" ht="15.75" customHeight="1">
      <c r="G740" s="17"/>
    </row>
    <row r="741" ht="15.75" customHeight="1">
      <c r="G741" s="17"/>
    </row>
    <row r="742" ht="15.75" customHeight="1">
      <c r="G742" s="17"/>
    </row>
    <row r="743" ht="15.75" customHeight="1">
      <c r="G743" s="17"/>
    </row>
    <row r="744" ht="15.75" customHeight="1">
      <c r="G744" s="17"/>
    </row>
    <row r="745" ht="15.75" customHeight="1">
      <c r="G745" s="17"/>
    </row>
    <row r="746" ht="15.75" customHeight="1">
      <c r="G746" s="17"/>
    </row>
    <row r="747" ht="15.75" customHeight="1">
      <c r="G747" s="17"/>
    </row>
    <row r="748" ht="15.75" customHeight="1">
      <c r="G748" s="17"/>
    </row>
    <row r="749" ht="15.75" customHeight="1">
      <c r="G749" s="17"/>
    </row>
    <row r="750" ht="15.75" customHeight="1">
      <c r="G750" s="17"/>
    </row>
    <row r="751" ht="15.75" customHeight="1">
      <c r="G751" s="17"/>
    </row>
    <row r="752" ht="15.75" customHeight="1">
      <c r="G752" s="17"/>
    </row>
    <row r="753" ht="15.75" customHeight="1">
      <c r="G753" s="17"/>
    </row>
    <row r="754" ht="15.75" customHeight="1">
      <c r="G754" s="17"/>
    </row>
    <row r="755" ht="15.75" customHeight="1">
      <c r="G755" s="17"/>
    </row>
    <row r="756" ht="15.75" customHeight="1">
      <c r="G756" s="17"/>
    </row>
    <row r="757" ht="15.75" customHeight="1">
      <c r="G757" s="17"/>
    </row>
    <row r="758" ht="15.75" customHeight="1">
      <c r="G758" s="17"/>
    </row>
    <row r="759" ht="15.75" customHeight="1">
      <c r="G759" s="17"/>
    </row>
    <row r="760" ht="15.75" customHeight="1">
      <c r="G760" s="17"/>
    </row>
    <row r="761" ht="15.75" customHeight="1">
      <c r="G761" s="17"/>
    </row>
    <row r="762" ht="15.75" customHeight="1">
      <c r="G762" s="17"/>
    </row>
    <row r="763" ht="15.75" customHeight="1">
      <c r="G763" s="17"/>
    </row>
    <row r="764" ht="15.75" customHeight="1">
      <c r="G764" s="17"/>
    </row>
    <row r="765" ht="15.75" customHeight="1">
      <c r="G765" s="17"/>
    </row>
    <row r="766" ht="15.75" customHeight="1">
      <c r="G766" s="17"/>
    </row>
    <row r="767" ht="15.75" customHeight="1">
      <c r="G767" s="17"/>
    </row>
    <row r="768" ht="15.75" customHeight="1">
      <c r="G768" s="17"/>
    </row>
    <row r="769" ht="15.75" customHeight="1">
      <c r="G769" s="17"/>
    </row>
    <row r="770" ht="15.75" customHeight="1">
      <c r="G770" s="17"/>
    </row>
    <row r="771" ht="15.75" customHeight="1">
      <c r="G771" s="17"/>
    </row>
    <row r="772" ht="15.75" customHeight="1">
      <c r="G772" s="17"/>
    </row>
    <row r="773" ht="15.75" customHeight="1">
      <c r="G773" s="17"/>
    </row>
    <row r="774" ht="15.75" customHeight="1">
      <c r="G774" s="17"/>
    </row>
    <row r="775" ht="15.75" customHeight="1">
      <c r="G775" s="17"/>
    </row>
    <row r="776" ht="15.75" customHeight="1">
      <c r="G776" s="17"/>
    </row>
    <row r="777" ht="15.75" customHeight="1">
      <c r="G777" s="17"/>
    </row>
    <row r="778" ht="15.75" customHeight="1">
      <c r="G778" s="17"/>
    </row>
    <row r="779" ht="15.75" customHeight="1">
      <c r="G779" s="17"/>
    </row>
    <row r="780" ht="15.75" customHeight="1">
      <c r="G780" s="17"/>
    </row>
    <row r="781" ht="15.75" customHeight="1">
      <c r="G781" s="17"/>
    </row>
    <row r="782" ht="15.75" customHeight="1">
      <c r="G782" s="17"/>
    </row>
    <row r="783" ht="15.75" customHeight="1">
      <c r="G783" s="17"/>
    </row>
    <row r="784" ht="15.75" customHeight="1">
      <c r="G784" s="17"/>
    </row>
    <row r="785" ht="15.75" customHeight="1">
      <c r="G785" s="17"/>
    </row>
    <row r="786" ht="15.75" customHeight="1">
      <c r="G786" s="17"/>
    </row>
    <row r="787" ht="15.75" customHeight="1">
      <c r="G787" s="17"/>
    </row>
    <row r="788" ht="15.75" customHeight="1">
      <c r="G788" s="17"/>
    </row>
    <row r="789" ht="15.75" customHeight="1">
      <c r="G789" s="17"/>
    </row>
    <row r="790" ht="15.75" customHeight="1">
      <c r="G790" s="17"/>
    </row>
    <row r="791" ht="15.75" customHeight="1">
      <c r="G791" s="17"/>
    </row>
    <row r="792" ht="15.75" customHeight="1">
      <c r="G792" s="17"/>
    </row>
    <row r="793" ht="15.75" customHeight="1">
      <c r="G793" s="17"/>
    </row>
    <row r="794" ht="15.75" customHeight="1">
      <c r="G794" s="17"/>
    </row>
    <row r="795" ht="15.75" customHeight="1">
      <c r="G795" s="17"/>
    </row>
    <row r="796" ht="15.75" customHeight="1">
      <c r="G796" s="17"/>
    </row>
    <row r="797" ht="15.75" customHeight="1">
      <c r="G797" s="17"/>
    </row>
    <row r="798" ht="15.75" customHeight="1">
      <c r="G798" s="17"/>
    </row>
    <row r="799" ht="15.75" customHeight="1">
      <c r="G799" s="17"/>
    </row>
    <row r="800" ht="15.75" customHeight="1">
      <c r="G800" s="17"/>
    </row>
    <row r="801" ht="15.75" customHeight="1">
      <c r="G801" s="17"/>
    </row>
    <row r="802" ht="15.75" customHeight="1">
      <c r="G802" s="17"/>
    </row>
    <row r="803" ht="15.75" customHeight="1">
      <c r="G803" s="17"/>
    </row>
    <row r="804" ht="15.75" customHeight="1">
      <c r="G804" s="17"/>
    </row>
    <row r="805" ht="15.75" customHeight="1">
      <c r="G805" s="17"/>
    </row>
    <row r="806" ht="15.75" customHeight="1">
      <c r="G806" s="17"/>
    </row>
    <row r="807" ht="15.75" customHeight="1">
      <c r="G807" s="17"/>
    </row>
    <row r="808" ht="15.75" customHeight="1">
      <c r="G808" s="17"/>
    </row>
    <row r="809" ht="15.75" customHeight="1">
      <c r="G809" s="17"/>
    </row>
    <row r="810" ht="15.75" customHeight="1">
      <c r="G810" s="17"/>
    </row>
    <row r="811" ht="15.75" customHeight="1">
      <c r="G811" s="17"/>
    </row>
    <row r="812" ht="15.75" customHeight="1">
      <c r="G812" s="17"/>
    </row>
    <row r="813" ht="15.75" customHeight="1">
      <c r="G813" s="17"/>
    </row>
    <row r="814" ht="15.75" customHeight="1">
      <c r="G814" s="17"/>
    </row>
    <row r="815" ht="15.75" customHeight="1">
      <c r="G815" s="17"/>
    </row>
    <row r="816" ht="15.75" customHeight="1">
      <c r="G816" s="17"/>
    </row>
    <row r="817" ht="15.75" customHeight="1">
      <c r="G817" s="17"/>
    </row>
    <row r="818" ht="15.75" customHeight="1">
      <c r="G818" s="17"/>
    </row>
    <row r="819" ht="15.75" customHeight="1">
      <c r="G819" s="17"/>
    </row>
    <row r="820" ht="15.75" customHeight="1">
      <c r="G820" s="17"/>
    </row>
    <row r="821" ht="15.75" customHeight="1">
      <c r="G821" s="17"/>
    </row>
    <row r="822" ht="15.75" customHeight="1">
      <c r="G822" s="17"/>
    </row>
    <row r="823" ht="15.75" customHeight="1">
      <c r="G823" s="17"/>
    </row>
    <row r="824" ht="15.75" customHeight="1">
      <c r="G824" s="17"/>
    </row>
    <row r="825" ht="15.75" customHeight="1">
      <c r="G825" s="17"/>
    </row>
    <row r="826" ht="15.75" customHeight="1">
      <c r="G826" s="17"/>
    </row>
    <row r="827" ht="15.75" customHeight="1">
      <c r="G827" s="17"/>
    </row>
    <row r="828" ht="15.75" customHeight="1">
      <c r="G828" s="17"/>
    </row>
    <row r="829" ht="15.75" customHeight="1">
      <c r="G829" s="17"/>
    </row>
    <row r="830" ht="15.75" customHeight="1">
      <c r="G830" s="17"/>
    </row>
    <row r="831" ht="15.75" customHeight="1">
      <c r="G831" s="17"/>
    </row>
    <row r="832" ht="15.75" customHeight="1">
      <c r="G832" s="17"/>
    </row>
    <row r="833" ht="15.75" customHeight="1">
      <c r="G833" s="17"/>
    </row>
    <row r="834" ht="15.75" customHeight="1">
      <c r="G834" s="17"/>
    </row>
    <row r="835" ht="15.75" customHeight="1">
      <c r="G835" s="17"/>
    </row>
    <row r="836" ht="15.75" customHeight="1">
      <c r="G836" s="17"/>
    </row>
    <row r="837" ht="15.75" customHeight="1">
      <c r="G837" s="17"/>
    </row>
    <row r="838" ht="15.75" customHeight="1">
      <c r="G838" s="17"/>
    </row>
    <row r="839" ht="15.75" customHeight="1">
      <c r="G839" s="17"/>
    </row>
    <row r="840" ht="15.75" customHeight="1">
      <c r="G840" s="17"/>
    </row>
    <row r="841" ht="15.75" customHeight="1">
      <c r="G841" s="17"/>
    </row>
    <row r="842" ht="15.75" customHeight="1">
      <c r="G842" s="17"/>
    </row>
    <row r="843" ht="15.75" customHeight="1">
      <c r="G843" s="17"/>
    </row>
    <row r="844" ht="15.75" customHeight="1">
      <c r="G844" s="17"/>
    </row>
    <row r="845" ht="15.75" customHeight="1">
      <c r="G845" s="17"/>
    </row>
    <row r="846" ht="15.75" customHeight="1">
      <c r="G846" s="17"/>
    </row>
    <row r="847" ht="15.75" customHeight="1">
      <c r="G847" s="17"/>
    </row>
    <row r="848" ht="15.75" customHeight="1">
      <c r="G848" s="17"/>
    </row>
    <row r="849" ht="15.75" customHeight="1">
      <c r="G849" s="17"/>
    </row>
    <row r="850" ht="15.75" customHeight="1">
      <c r="G850" s="17"/>
    </row>
    <row r="851" ht="15.75" customHeight="1">
      <c r="G851" s="17"/>
    </row>
    <row r="852" ht="15.75" customHeight="1">
      <c r="G852" s="17"/>
    </row>
    <row r="853" ht="15.75" customHeight="1">
      <c r="G853" s="17"/>
    </row>
    <row r="854" ht="15.75" customHeight="1">
      <c r="G854" s="17"/>
    </row>
    <row r="855" ht="15.75" customHeight="1">
      <c r="G855" s="17"/>
    </row>
    <row r="856" ht="15.75" customHeight="1">
      <c r="G856" s="17"/>
    </row>
    <row r="857" ht="15.75" customHeight="1">
      <c r="G857" s="17"/>
    </row>
    <row r="858" ht="15.75" customHeight="1">
      <c r="G858" s="17"/>
    </row>
    <row r="859" ht="15.75" customHeight="1">
      <c r="G859" s="17"/>
    </row>
    <row r="860" ht="15.75" customHeight="1">
      <c r="G860" s="17"/>
    </row>
    <row r="861" ht="15.75" customHeight="1">
      <c r="G861" s="17"/>
    </row>
    <row r="862" ht="15.75" customHeight="1">
      <c r="G862" s="17"/>
    </row>
    <row r="863" ht="15.75" customHeight="1">
      <c r="G863" s="17"/>
    </row>
    <row r="864" ht="15.75" customHeight="1">
      <c r="G864" s="17"/>
    </row>
    <row r="865" ht="15.75" customHeight="1">
      <c r="G865" s="17"/>
    </row>
    <row r="866" ht="15.75" customHeight="1">
      <c r="G866" s="17"/>
    </row>
    <row r="867" ht="15.75" customHeight="1">
      <c r="G867" s="17"/>
    </row>
    <row r="868" ht="15.75" customHeight="1">
      <c r="G868" s="17"/>
    </row>
    <row r="869" ht="15.75" customHeight="1">
      <c r="G869" s="17"/>
    </row>
    <row r="870" ht="15.75" customHeight="1">
      <c r="G870" s="17"/>
    </row>
    <row r="871" ht="15.75" customHeight="1">
      <c r="G871" s="17"/>
    </row>
    <row r="872" ht="15.75" customHeight="1">
      <c r="G872" s="17"/>
    </row>
    <row r="873" ht="15.75" customHeight="1">
      <c r="G873" s="17"/>
    </row>
    <row r="874" ht="15.75" customHeight="1">
      <c r="G874" s="17"/>
    </row>
    <row r="875" ht="15.75" customHeight="1">
      <c r="G875" s="17"/>
    </row>
    <row r="876" ht="15.75" customHeight="1">
      <c r="G876" s="17"/>
    </row>
    <row r="877" ht="15.75" customHeight="1">
      <c r="G877" s="17"/>
    </row>
    <row r="878" ht="15.75" customHeight="1">
      <c r="G878" s="17"/>
    </row>
    <row r="879" ht="15.75" customHeight="1">
      <c r="G879" s="17"/>
    </row>
    <row r="880" ht="15.75" customHeight="1">
      <c r="G880" s="17"/>
    </row>
    <row r="881" ht="15.75" customHeight="1">
      <c r="G881" s="17"/>
    </row>
    <row r="882" ht="15.75" customHeight="1">
      <c r="G882" s="17"/>
    </row>
    <row r="883" ht="15.75" customHeight="1">
      <c r="G883" s="17"/>
    </row>
    <row r="884" ht="15.75" customHeight="1">
      <c r="G884" s="17"/>
    </row>
    <row r="885" ht="15.75" customHeight="1">
      <c r="G885" s="17"/>
    </row>
    <row r="886" ht="15.75" customHeight="1">
      <c r="G886" s="17"/>
    </row>
    <row r="887" ht="15.75" customHeight="1">
      <c r="G887" s="17"/>
    </row>
    <row r="888" ht="15.75" customHeight="1">
      <c r="G888" s="17"/>
    </row>
    <row r="889" ht="15.75" customHeight="1">
      <c r="G889" s="17"/>
    </row>
    <row r="890" ht="15.75" customHeight="1">
      <c r="G890" s="17"/>
    </row>
    <row r="891" ht="15.75" customHeight="1">
      <c r="G891" s="17"/>
    </row>
    <row r="892" ht="15.75" customHeight="1">
      <c r="G892" s="17"/>
    </row>
    <row r="893" ht="15.75" customHeight="1">
      <c r="G893" s="17"/>
    </row>
    <row r="894" ht="15.75" customHeight="1">
      <c r="G894" s="17"/>
    </row>
    <row r="895" ht="15.75" customHeight="1">
      <c r="G895" s="17"/>
    </row>
    <row r="896" ht="15.75" customHeight="1">
      <c r="G896" s="17"/>
    </row>
    <row r="897" ht="15.75" customHeight="1">
      <c r="G897" s="17"/>
    </row>
    <row r="898" ht="15.75" customHeight="1">
      <c r="G898" s="17"/>
    </row>
    <row r="899" ht="15.75" customHeight="1">
      <c r="G899" s="17"/>
    </row>
    <row r="900" ht="15.75" customHeight="1">
      <c r="G900" s="17"/>
    </row>
    <row r="901" ht="15.75" customHeight="1">
      <c r="G901" s="17"/>
    </row>
    <row r="902" ht="15.75" customHeight="1">
      <c r="G902" s="17"/>
    </row>
    <row r="903" ht="15.75" customHeight="1">
      <c r="G903" s="17"/>
    </row>
    <row r="904" ht="15.75" customHeight="1">
      <c r="G904" s="17"/>
    </row>
    <row r="905" ht="15.75" customHeight="1">
      <c r="G905" s="17"/>
    </row>
    <row r="906" ht="15.75" customHeight="1">
      <c r="G906" s="17"/>
    </row>
    <row r="907" ht="15.75" customHeight="1">
      <c r="G907" s="17"/>
    </row>
    <row r="908" ht="15.75" customHeight="1">
      <c r="G908" s="17"/>
    </row>
    <row r="909" ht="15.75" customHeight="1">
      <c r="G909" s="17"/>
    </row>
    <row r="910" ht="15.75" customHeight="1">
      <c r="G910" s="17"/>
    </row>
    <row r="911" ht="15.75" customHeight="1">
      <c r="G911" s="17"/>
    </row>
    <row r="912" ht="15.75" customHeight="1">
      <c r="G912" s="17"/>
    </row>
    <row r="913" ht="15.75" customHeight="1">
      <c r="G913" s="17"/>
    </row>
    <row r="914" ht="15.75" customHeight="1">
      <c r="G914" s="17"/>
    </row>
    <row r="915" ht="15.75" customHeight="1">
      <c r="G915" s="17"/>
    </row>
    <row r="916" ht="15.75" customHeight="1">
      <c r="G916" s="17"/>
    </row>
    <row r="917" ht="15.75" customHeight="1">
      <c r="G917" s="17"/>
    </row>
    <row r="918" ht="15.75" customHeight="1">
      <c r="G918" s="17"/>
    </row>
    <row r="919" ht="15.75" customHeight="1">
      <c r="G919" s="17"/>
    </row>
    <row r="920" ht="15.75" customHeight="1">
      <c r="G920" s="17"/>
    </row>
    <row r="921" ht="15.75" customHeight="1">
      <c r="G921" s="17"/>
    </row>
    <row r="922" ht="15.75" customHeight="1">
      <c r="G922" s="17"/>
    </row>
    <row r="923" ht="15.75" customHeight="1">
      <c r="G923" s="17"/>
    </row>
    <row r="924" ht="15.75" customHeight="1">
      <c r="G924" s="17"/>
    </row>
    <row r="925" ht="15.75" customHeight="1">
      <c r="G925" s="17"/>
    </row>
    <row r="926" ht="15.75" customHeight="1">
      <c r="G926" s="17"/>
    </row>
    <row r="927" ht="15.75" customHeight="1">
      <c r="G927" s="17"/>
    </row>
    <row r="928" ht="15.75" customHeight="1">
      <c r="G928" s="17"/>
    </row>
    <row r="929" ht="15.75" customHeight="1">
      <c r="G929" s="17"/>
    </row>
    <row r="930" ht="15.75" customHeight="1">
      <c r="G930" s="17"/>
    </row>
    <row r="931" ht="15.75" customHeight="1">
      <c r="G931" s="17"/>
    </row>
    <row r="932" ht="15.75" customHeight="1">
      <c r="G932" s="17"/>
    </row>
    <row r="933" ht="15.75" customHeight="1">
      <c r="G933" s="17"/>
    </row>
    <row r="934" ht="15.75" customHeight="1">
      <c r="G934" s="17"/>
    </row>
    <row r="935" ht="15.75" customHeight="1">
      <c r="G935" s="17"/>
    </row>
    <row r="936" ht="15.75" customHeight="1">
      <c r="G936" s="17"/>
    </row>
    <row r="937" ht="15.75" customHeight="1">
      <c r="G937" s="17"/>
    </row>
    <row r="938" ht="15.75" customHeight="1">
      <c r="G938" s="17"/>
    </row>
    <row r="939" ht="15.75" customHeight="1">
      <c r="G939" s="17"/>
    </row>
    <row r="940" ht="15.75" customHeight="1">
      <c r="G940" s="17"/>
    </row>
    <row r="941" ht="15.75" customHeight="1">
      <c r="G941" s="17"/>
    </row>
    <row r="942" ht="15.75" customHeight="1">
      <c r="G942" s="17"/>
    </row>
    <row r="943" ht="15.75" customHeight="1">
      <c r="G943" s="17"/>
    </row>
    <row r="944" ht="15.75" customHeight="1">
      <c r="G944" s="17"/>
    </row>
    <row r="945" ht="15.75" customHeight="1">
      <c r="G945" s="17"/>
    </row>
    <row r="946" ht="15.75" customHeight="1">
      <c r="G946" s="17"/>
    </row>
    <row r="947" ht="15.75" customHeight="1">
      <c r="G947" s="17"/>
    </row>
    <row r="948" ht="15.75" customHeight="1">
      <c r="G948" s="17"/>
    </row>
    <row r="949" ht="15.75" customHeight="1">
      <c r="G949" s="17"/>
    </row>
    <row r="950" ht="15.75" customHeight="1">
      <c r="G950" s="17"/>
    </row>
    <row r="951" ht="15.75" customHeight="1">
      <c r="G951" s="17"/>
    </row>
    <row r="952" ht="15.75" customHeight="1">
      <c r="G952" s="17"/>
    </row>
    <row r="953" ht="15.75" customHeight="1">
      <c r="G953" s="17"/>
    </row>
    <row r="954" ht="15.75" customHeight="1">
      <c r="G954" s="17"/>
    </row>
    <row r="955" ht="15.75" customHeight="1">
      <c r="G955" s="17"/>
    </row>
    <row r="956" ht="15.75" customHeight="1">
      <c r="G956" s="17"/>
    </row>
    <row r="957" ht="15.75" customHeight="1">
      <c r="G957" s="17"/>
    </row>
    <row r="958" ht="15.75" customHeight="1">
      <c r="G958" s="17"/>
    </row>
    <row r="959" ht="15.75" customHeight="1">
      <c r="G959" s="17"/>
    </row>
    <row r="960" ht="15.75" customHeight="1">
      <c r="G960" s="17"/>
    </row>
    <row r="961" ht="15.75" customHeight="1">
      <c r="G961" s="17"/>
    </row>
    <row r="962" ht="15.75" customHeight="1">
      <c r="G962" s="17"/>
    </row>
    <row r="963" ht="15.75" customHeight="1">
      <c r="G963" s="17"/>
    </row>
    <row r="964" ht="15.75" customHeight="1">
      <c r="G964" s="17"/>
    </row>
    <row r="965" ht="15.75" customHeight="1">
      <c r="G965" s="17"/>
    </row>
    <row r="966" ht="15.75" customHeight="1">
      <c r="G966" s="17"/>
    </row>
    <row r="967" ht="15.75" customHeight="1">
      <c r="G967" s="17"/>
    </row>
    <row r="968" ht="15.75" customHeight="1">
      <c r="G968" s="17"/>
    </row>
    <row r="969" ht="15.75" customHeight="1">
      <c r="G969" s="17"/>
    </row>
    <row r="970" ht="15.75" customHeight="1">
      <c r="G970" s="17"/>
    </row>
    <row r="971" ht="15.75" customHeight="1">
      <c r="G971" s="17"/>
    </row>
    <row r="972" ht="15.75" customHeight="1">
      <c r="G972" s="17"/>
    </row>
    <row r="973" ht="15.75" customHeight="1">
      <c r="G973" s="17"/>
    </row>
    <row r="974" ht="15.75" customHeight="1">
      <c r="G974" s="17"/>
    </row>
    <row r="975" ht="15.75" customHeight="1">
      <c r="G975" s="17"/>
    </row>
    <row r="976" ht="15.75" customHeight="1">
      <c r="G976" s="17"/>
    </row>
    <row r="977" ht="15.75" customHeight="1">
      <c r="G977" s="17"/>
    </row>
    <row r="978" ht="15.75" customHeight="1">
      <c r="G978" s="17"/>
    </row>
    <row r="979" ht="15.75" customHeight="1">
      <c r="G979" s="17"/>
    </row>
    <row r="980" ht="15.75" customHeight="1">
      <c r="G980" s="17"/>
    </row>
    <row r="981" ht="15.75" customHeight="1">
      <c r="G981" s="17"/>
    </row>
    <row r="982" ht="15.75" customHeight="1">
      <c r="G982" s="17"/>
    </row>
    <row r="983" ht="15.75" customHeight="1">
      <c r="G983" s="17"/>
    </row>
    <row r="984" ht="15.75" customHeight="1">
      <c r="G984" s="17"/>
    </row>
    <row r="985" ht="15.75" customHeight="1">
      <c r="G985" s="17"/>
    </row>
    <row r="986" ht="15.75" customHeight="1">
      <c r="G986" s="17"/>
    </row>
    <row r="987" ht="15.75" customHeight="1">
      <c r="G987" s="17"/>
    </row>
    <row r="988" ht="15.75" customHeight="1">
      <c r="G988" s="17"/>
    </row>
    <row r="989" ht="15.75" customHeight="1">
      <c r="G989" s="17"/>
    </row>
    <row r="990" ht="15.75" customHeight="1">
      <c r="G990" s="17"/>
    </row>
    <row r="991" ht="15.75" customHeight="1">
      <c r="G991" s="17"/>
    </row>
    <row r="992" ht="15.75" customHeight="1">
      <c r="G992" s="17"/>
    </row>
    <row r="993" ht="15.75" customHeight="1">
      <c r="G993" s="17"/>
    </row>
    <row r="994" ht="15.75" customHeight="1">
      <c r="G994" s="17"/>
    </row>
    <row r="995" ht="15.75" customHeight="1">
      <c r="G995" s="17"/>
    </row>
    <row r="996" ht="15.75" customHeight="1">
      <c r="G996" s="17"/>
    </row>
    <row r="997" ht="15.75" customHeight="1">
      <c r="G997" s="17"/>
    </row>
    <row r="998" ht="15.75" customHeight="1">
      <c r="G998" s="17"/>
    </row>
    <row r="999" ht="15.75" customHeight="1">
      <c r="G999" s="17"/>
    </row>
    <row r="1000" ht="15.75" customHeight="1">
      <c r="G1000" s="17"/>
    </row>
    <row r="1001" ht="15.75" customHeight="1">
      <c r="G1001" s="17"/>
    </row>
  </sheetData>
  <conditionalFormatting sqref="E3:E17">
    <cfRule type="expression" dxfId="0" priority="1">
      <formula>E3="NO"</formula>
    </cfRule>
  </conditionalFormatting>
  <conditionalFormatting sqref="H3:H147">
    <cfRule type="expression" dxfId="1" priority="2">
      <formula>F3="FIXED"</formula>
    </cfRule>
  </conditionalFormatting>
  <conditionalFormatting sqref="H3:H147">
    <cfRule type="expression" dxfId="2" priority="3">
      <formula>F3="VARIABLE"</formula>
    </cfRule>
  </conditionalFormatting>
  <conditionalFormatting sqref="G3:G147">
    <cfRule type="expression" dxfId="1" priority="4">
      <formula>E3="FIXED"</formula>
    </cfRule>
  </conditionalFormatting>
  <conditionalFormatting sqref="G3:G147">
    <cfRule type="expression" dxfId="1" priority="5">
      <formula>F3="FIXED"</formula>
    </cfRule>
  </conditionalFormatting>
  <conditionalFormatting sqref="G3:G147">
    <cfRule type="expression" dxfId="2" priority="6">
      <formula>F3="VARIABLE"</formula>
    </cfRule>
  </conditionalFormatting>
  <dataValidations>
    <dataValidation type="list" allowBlank="1" showDropDown="1" showErrorMessage="1" sqref="A148:A400">
      <formula1>"0. Kick-off ,1. Strategy ,2. Design ,3. Build ,4. Launch"</formula1>
    </dataValidation>
    <dataValidation type="list" allowBlank="1" showDropDown="1" showErrorMessage="1" sqref="A3:A147">
      <formula1>"PRE-SALE,DISCOVERY,FOUNDATIONS,DESIGN,DELIVERY,LAUNCH"</formula1>
    </dataValidation>
    <dataValidation type="list" allowBlank="1" showErrorMessage="1" sqref="F3:F147">
      <formula1>"FIXED,VARIABLE"</formula1>
    </dataValidation>
    <dataValidation type="list" allowBlank="1" showErrorMessage="1" sqref="E3:E209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86"/>
    <col customWidth="1" min="3" max="3" width="52.0"/>
    <col customWidth="1" min="4" max="4" width="52.43"/>
    <col customWidth="1" min="5" max="5" width="3.57"/>
    <col customWidth="1" min="6" max="6" width="52.14"/>
    <col customWidth="1" min="7" max="7" width="8.71"/>
    <col customWidth="1" min="8" max="8" width="13.71"/>
    <col customWidth="1" min="9" max="22" width="8.71"/>
  </cols>
  <sheetData>
    <row r="1">
      <c r="A1" s="19" t="s">
        <v>210</v>
      </c>
      <c r="H1" s="15" t="s">
        <v>211</v>
      </c>
    </row>
    <row r="2">
      <c r="A2" s="19"/>
    </row>
    <row r="3">
      <c r="A3" s="20" t="s">
        <v>4</v>
      </c>
      <c r="B3" s="20" t="s">
        <v>5</v>
      </c>
      <c r="C3" s="20" t="s">
        <v>6</v>
      </c>
      <c r="D3" s="21"/>
      <c r="E3" s="22"/>
      <c r="F3" s="22" t="s">
        <v>18</v>
      </c>
      <c r="H3" s="6" t="s">
        <v>7</v>
      </c>
    </row>
    <row r="4">
      <c r="A4" s="23" t="str">
        <f>'Standard Estimator - SALES'!B3</f>
        <v>Design</v>
      </c>
      <c r="B4" s="23" t="str">
        <f>'Standard Estimator - SALES'!C3</f>
        <v>Discovery</v>
      </c>
      <c r="C4" s="23" t="str">
        <f>'Standard Estimator - SALES'!D3</f>
        <v>Kickoff + stakeholder alignment workshop</v>
      </c>
      <c r="D4" s="23" t="str">
        <f>'Standard Estimator - SALES'!G3</f>
        <v/>
      </c>
      <c r="E4" s="23" t="str">
        <f>if('Standard Estimator - SALES'!F3="VARIABLE", 'Standard Estimator - SALES'!H3, "")</f>
        <v/>
      </c>
      <c r="F4" s="23" t="str">
        <f>'Standard Estimator - SALES'!Q3</f>
        <v/>
      </c>
      <c r="H4" s="16" t="str">
        <f>'Standard Estimator - SALES'!E3</f>
        <v>NO</v>
      </c>
    </row>
    <row r="5">
      <c r="A5" s="23" t="str">
        <f>'Standard Estimator - SALES'!B4</f>
        <v>Design</v>
      </c>
      <c r="B5" s="23" t="str">
        <f>'Standard Estimator - SALES'!C4</f>
        <v>Discovery</v>
      </c>
      <c r="C5" s="23" t="str">
        <f>'Standard Estimator - SALES'!D4</f>
        <v>Competitive website review (per competitor)</v>
      </c>
      <c r="D5" s="23" t="str">
        <f>'Standard Estimator - SALES'!G4</f>
        <v>Number of competitor websites to be audited:</v>
      </c>
      <c r="E5" s="23">
        <f>if('Standard Estimator - SALES'!F4="VARIABLE", 'Standard Estimator - SALES'!H4, "")</f>
        <v>2</v>
      </c>
      <c r="F5" s="23" t="str">
        <f>'Standard Estimator - SALES'!Q4</f>
        <v/>
      </c>
      <c r="H5" s="16" t="str">
        <f>'Standard Estimator - SALES'!E4</f>
        <v>NO</v>
      </c>
    </row>
    <row r="6">
      <c r="A6" s="23" t="str">
        <f>'Standard Estimator - SALES'!B5</f>
        <v>Design</v>
      </c>
      <c r="B6" s="23" t="str">
        <f>'Standard Estimator - SALES'!C5</f>
        <v>Discovery</v>
      </c>
      <c r="C6" s="23" t="str">
        <f>'Standard Estimator - SALES'!D5</f>
        <v>Design inspiration / moodboard sprint</v>
      </c>
      <c r="D6" s="23" t="str">
        <f>'Standard Estimator - SALES'!G5</f>
        <v/>
      </c>
      <c r="E6" s="23" t="str">
        <f>if('Standard Estimator - SALES'!F5="VARIABLE", 'Standard Estimator - SALES'!H5, "")</f>
        <v/>
      </c>
      <c r="F6" s="23" t="str">
        <f>'Standard Estimator - SALES'!Q5</f>
        <v/>
      </c>
      <c r="H6" s="16" t="str">
        <f>'Standard Estimator - SALES'!E5</f>
        <v>NO</v>
      </c>
    </row>
    <row r="7">
      <c r="A7" s="23" t="str">
        <f>'Standard Estimator - SALES'!B6</f>
        <v>Design</v>
      </c>
      <c r="B7" s="23" t="str">
        <f>'Standard Estimator - SALES'!C6</f>
        <v>Branding</v>
      </c>
      <c r="C7" s="23" t="str">
        <f>'Standard Estimator - SALES'!D6</f>
        <v>Brand audit (current guidelines + assets)</v>
      </c>
      <c r="D7" s="23" t="str">
        <f>'Standard Estimator - SALES'!G6</f>
        <v/>
      </c>
      <c r="E7" s="23" t="str">
        <f>if('Standard Estimator - SALES'!F6="VARIABLE", 'Standard Estimator - SALES'!H6, "")</f>
        <v/>
      </c>
      <c r="F7" s="23" t="str">
        <f>'Standard Estimator - SALES'!Q6</f>
        <v/>
      </c>
      <c r="H7" s="16" t="str">
        <f>'Standard Estimator - SALES'!E6</f>
        <v>NO</v>
      </c>
    </row>
    <row r="8">
      <c r="A8" s="23" t="str">
        <f>'Standard Estimator - SALES'!B7</f>
        <v>Design</v>
      </c>
      <c r="B8" s="23" t="str">
        <f>'Standard Estimator - SALES'!C7</f>
        <v>Branding</v>
      </c>
      <c r="C8" s="23" t="str">
        <f>'Standard Estimator - SALES'!D7</f>
        <v>Logo refinement (light)</v>
      </c>
      <c r="D8" s="23" t="str">
        <f>'Standard Estimator - SALES'!G7</f>
        <v/>
      </c>
      <c r="E8" s="23" t="str">
        <f>if('Standard Estimator - SALES'!F7="VARIABLE", 'Standard Estimator - SALES'!H7, "")</f>
        <v/>
      </c>
      <c r="F8" s="23" t="str">
        <f>'Standard Estimator - SALES'!Q7</f>
        <v/>
      </c>
      <c r="H8" s="16" t="str">
        <f>'Standard Estimator - SALES'!E7</f>
        <v>NO</v>
      </c>
    </row>
    <row r="9">
      <c r="A9" s="23" t="str">
        <f>'Standard Estimator - SALES'!B8</f>
        <v>Design</v>
      </c>
      <c r="B9" s="23" t="str">
        <f>'Standard Estimator - SALES'!C8</f>
        <v>Branding</v>
      </c>
      <c r="C9" s="23" t="str">
        <f>'Standard Estimator - SALES'!D8</f>
        <v>Logo redesign (full)</v>
      </c>
      <c r="D9" s="23" t="str">
        <f>'Standard Estimator - SALES'!G8</f>
        <v/>
      </c>
      <c r="E9" s="23" t="str">
        <f>if('Standard Estimator - SALES'!F8="VARIABLE", 'Standard Estimator - SALES'!H8, "")</f>
        <v/>
      </c>
      <c r="F9" s="23" t="str">
        <f>'Standard Estimator - SALES'!Q8</f>
        <v/>
      </c>
      <c r="H9" s="16" t="str">
        <f>'Standard Estimator - SALES'!E8</f>
        <v>NO</v>
      </c>
    </row>
    <row r="10">
      <c r="A10" s="23" t="str">
        <f>'Standard Estimator - SALES'!B9</f>
        <v>Design</v>
      </c>
      <c r="B10" s="23" t="str">
        <f>'Standard Estimator - SALES'!C9</f>
        <v>Branding</v>
      </c>
      <c r="C10" s="23" t="str">
        <f>'Standard Estimator - SALES'!D9</f>
        <v>Color palette system</v>
      </c>
      <c r="D10" s="23" t="str">
        <f>'Standard Estimator - SALES'!G9</f>
        <v/>
      </c>
      <c r="E10" s="23" t="str">
        <f>if('Standard Estimator - SALES'!F9="VARIABLE", 'Standard Estimator - SALES'!H9, "")</f>
        <v/>
      </c>
      <c r="F10" s="23" t="str">
        <f>'Standard Estimator - SALES'!Q9</f>
        <v/>
      </c>
      <c r="H10" s="16" t="str">
        <f>'Standard Estimator - SALES'!E9</f>
        <v>NO</v>
      </c>
    </row>
    <row r="11">
      <c r="A11" s="23" t="str">
        <f>'Standard Estimator - SALES'!B10</f>
        <v>Design</v>
      </c>
      <c r="B11" s="23" t="str">
        <f>'Standard Estimator - SALES'!C10</f>
        <v>Branding</v>
      </c>
      <c r="C11" s="23" t="str">
        <f>'Standard Estimator - SALES'!D10</f>
        <v>Typography system</v>
      </c>
      <c r="D11" s="23" t="str">
        <f>'Standard Estimator - SALES'!G10</f>
        <v/>
      </c>
      <c r="E11" s="23" t="str">
        <f>if('Standard Estimator - SALES'!F10="VARIABLE", 'Standard Estimator - SALES'!H10, "")</f>
        <v/>
      </c>
      <c r="F11" s="23" t="str">
        <f>'Standard Estimator - SALES'!Q10</f>
        <v/>
      </c>
      <c r="H11" s="16" t="str">
        <f>'Standard Estimator - SALES'!E10</f>
        <v>NO</v>
      </c>
    </row>
    <row r="12">
      <c r="A12" s="23" t="str">
        <f>'Standard Estimator - SALES'!B11</f>
        <v>Design</v>
      </c>
      <c r="B12" s="23" t="str">
        <f>'Standard Estimator - SALES'!C11</f>
        <v>Branding</v>
      </c>
      <c r="C12" s="23" t="str">
        <f>'Standard Estimator - SALES'!D11</f>
        <v>Iconography style + starter set (10 icons)</v>
      </c>
      <c r="D12" s="23" t="str">
        <f>'Standard Estimator - SALES'!G11</f>
        <v/>
      </c>
      <c r="E12" s="23" t="str">
        <f>if('Standard Estimator - SALES'!F11="VARIABLE", 'Standard Estimator - SALES'!H11, "")</f>
        <v/>
      </c>
      <c r="F12" s="23" t="str">
        <f>'Standard Estimator - SALES'!Q11</f>
        <v/>
      </c>
      <c r="H12" s="16" t="str">
        <f>'Standard Estimator - SALES'!E11</f>
        <v>NO</v>
      </c>
    </row>
    <row r="13">
      <c r="A13" s="23" t="str">
        <f>'Standard Estimator - SALES'!B12</f>
        <v>Design</v>
      </c>
      <c r="B13" s="23" t="str">
        <f>'Standard Estimator - SALES'!C12</f>
        <v>Branding</v>
      </c>
      <c r="C13" s="23" t="str">
        <f>'Standard Estimator - SALES'!D12</f>
        <v>Illustration style definition</v>
      </c>
      <c r="D13" s="23" t="str">
        <f>'Standard Estimator - SALES'!G12</f>
        <v/>
      </c>
      <c r="E13" s="23" t="str">
        <f>if('Standard Estimator - SALES'!F12="VARIABLE", 'Standard Estimator - SALES'!H12, "")</f>
        <v/>
      </c>
      <c r="F13" s="23" t="str">
        <f>'Standard Estimator - SALES'!Q12</f>
        <v/>
      </c>
      <c r="H13" s="16" t="str">
        <f>'Standard Estimator - SALES'!E12</f>
        <v>NO</v>
      </c>
    </row>
    <row r="14">
      <c r="A14" s="23" t="str">
        <f>'Standard Estimator - SALES'!B13</f>
        <v>Design</v>
      </c>
      <c r="B14" s="23" t="str">
        <f>'Standard Estimator - SALES'!C13</f>
        <v>Branding</v>
      </c>
      <c r="C14" s="23" t="str">
        <f>'Standard Estimator - SALES'!D13</f>
        <v>Brand guidelines (lite – 10–15 pages)</v>
      </c>
      <c r="D14" s="23" t="str">
        <f>'Standard Estimator - SALES'!G13</f>
        <v/>
      </c>
      <c r="E14" s="23" t="str">
        <f>if('Standard Estimator - SALES'!F13="VARIABLE", 'Standard Estimator - SALES'!H13, "")</f>
        <v/>
      </c>
      <c r="F14" s="23" t="str">
        <f>'Standard Estimator - SALES'!Q13</f>
        <v/>
      </c>
      <c r="H14" s="16" t="str">
        <f>'Standard Estimator - SALES'!E13</f>
        <v>NO</v>
      </c>
    </row>
    <row r="15">
      <c r="A15" s="23" t="str">
        <f>'Standard Estimator - SALES'!B14</f>
        <v>Design</v>
      </c>
      <c r="B15" s="23" t="str">
        <f>'Standard Estimator - SALES'!C14</f>
        <v>UX</v>
      </c>
      <c r="C15" s="23" t="str">
        <f>'Standard Estimator - SALES'!D14</f>
        <v>Information architecture + sitemap</v>
      </c>
      <c r="D15" s="23" t="str">
        <f>'Standard Estimator - SALES'!G14</f>
        <v/>
      </c>
      <c r="E15" s="23" t="str">
        <f>if('Standard Estimator - SALES'!F14="VARIABLE", 'Standard Estimator - SALES'!H14, "")</f>
        <v/>
      </c>
      <c r="F15" s="23" t="str">
        <f>'Standard Estimator - SALES'!Q14</f>
        <v/>
      </c>
      <c r="H15" s="16" t="str">
        <f>'Standard Estimator - SALES'!E14</f>
        <v>NO</v>
      </c>
    </row>
    <row r="16">
      <c r="A16" s="23" t="str">
        <f>'Standard Estimator - SALES'!B15</f>
        <v>Design</v>
      </c>
      <c r="B16" s="23" t="str">
        <f>'Standard Estimator - SALES'!C15</f>
        <v>UX</v>
      </c>
      <c r="C16" s="23" t="str">
        <f>'Standard Estimator - SALES'!D15</f>
        <v>Wireframes – homepage</v>
      </c>
      <c r="D16" s="23" t="str">
        <f>'Standard Estimator - SALES'!G15</f>
        <v/>
      </c>
      <c r="E16" s="23" t="str">
        <f>if('Standard Estimator - SALES'!F15="VARIABLE", 'Standard Estimator - SALES'!H15, "")</f>
        <v/>
      </c>
      <c r="F16" s="23" t="str">
        <f>'Standard Estimator - SALES'!Q15</f>
        <v/>
      </c>
      <c r="H16" s="16" t="str">
        <f>'Standard Estimator - SALES'!E15</f>
        <v>NO</v>
      </c>
    </row>
    <row r="17">
      <c r="A17" s="23" t="str">
        <f>'Standard Estimator - SALES'!B16</f>
        <v>Design</v>
      </c>
      <c r="B17" s="23" t="str">
        <f>'Standard Estimator - SALES'!C16</f>
        <v>UX</v>
      </c>
      <c r="C17" s="23" t="str">
        <f>'Standard Estimator - SALES'!D16</f>
        <v>Wireframes – template page type (per template)</v>
      </c>
      <c r="D17" s="23" t="str">
        <f>'Standard Estimator - SALES'!G16</f>
        <v>Number of templates we are assuming:</v>
      </c>
      <c r="E17" s="23">
        <f>if('Standard Estimator - SALES'!F16="VARIABLE", 'Standard Estimator - SALES'!H16, "")</f>
        <v>10</v>
      </c>
      <c r="F17" s="23" t="str">
        <f>'Standard Estimator - SALES'!Q16</f>
        <v/>
      </c>
      <c r="H17" s="16" t="str">
        <f>'Standard Estimator - SALES'!E16</f>
        <v>NO</v>
      </c>
    </row>
    <row r="18">
      <c r="A18" s="23" t="str">
        <f>'Standard Estimator - SALES'!B17</f>
        <v>Design</v>
      </c>
      <c r="B18" s="23" t="str">
        <f>'Standard Estimator - SALES'!C17</f>
        <v>UX</v>
      </c>
      <c r="C18" s="23" t="str">
        <f>'Standard Estimator - SALES'!D17</f>
        <v>Form UX (contact/demo) wireframe</v>
      </c>
      <c r="D18" s="23" t="str">
        <f>'Standard Estimator - SALES'!G17</f>
        <v/>
      </c>
      <c r="E18" s="23" t="str">
        <f>if('Standard Estimator - SALES'!F17="VARIABLE", 'Standard Estimator - SALES'!H17, "")</f>
        <v/>
      </c>
      <c r="F18" s="23" t="str">
        <f>'Standard Estimator - SALES'!Q17</f>
        <v/>
      </c>
      <c r="H18" s="16" t="str">
        <f>'Standard Estimator - SALES'!E17</f>
        <v>NO</v>
      </c>
    </row>
    <row r="19">
      <c r="A19" s="23" t="str">
        <f>'Standard Estimator - SALES'!B18</f>
        <v>Design</v>
      </c>
      <c r="B19" s="23" t="str">
        <f>'Standard Estimator - SALES'!C18</f>
        <v>UX</v>
      </c>
      <c r="C19" s="23" t="str">
        <f>'Standard Estimator - SALES'!D18</f>
        <v>Pricing UX wireframe</v>
      </c>
      <c r="D19" s="23" t="str">
        <f>'Standard Estimator - SALES'!G18</f>
        <v/>
      </c>
      <c r="E19" s="23" t="str">
        <f>if('Standard Estimator - SALES'!F18="VARIABLE", 'Standard Estimator - SALES'!H18, "")</f>
        <v/>
      </c>
      <c r="F19" s="23" t="str">
        <f>'Standard Estimator - SALES'!Q18</f>
        <v/>
      </c>
      <c r="H19" s="16" t="str">
        <f>'Standard Estimator - SALES'!E18</f>
        <v>NO</v>
      </c>
    </row>
    <row r="20">
      <c r="A20" s="23" t="str">
        <f>'Standard Estimator - SALES'!B19</f>
        <v>Design</v>
      </c>
      <c r="B20" s="23" t="str">
        <f>'Standard Estimator - SALES'!C19</f>
        <v>UI System</v>
      </c>
      <c r="C20" s="23" t="str">
        <f>'Standard Estimator - SALES'!D19</f>
        <v>Figma project setup + page grid</v>
      </c>
      <c r="D20" s="23" t="str">
        <f>'Standard Estimator - SALES'!G19</f>
        <v/>
      </c>
      <c r="E20" s="23" t="str">
        <f>if('Standard Estimator - SALES'!F19="VARIABLE", 'Standard Estimator - SALES'!H19, "")</f>
        <v/>
      </c>
      <c r="F20" s="23" t="str">
        <f>'Standard Estimator - SALES'!Q19</f>
        <v/>
      </c>
      <c r="H20" s="16" t="str">
        <f>'Standard Estimator - SALES'!E19</f>
        <v>NO</v>
      </c>
    </row>
    <row r="21">
      <c r="A21" s="23" t="str">
        <f>'Standard Estimator - SALES'!B20</f>
        <v>Design</v>
      </c>
      <c r="B21" s="23" t="str">
        <f>'Standard Estimator - SALES'!C20</f>
        <v>UI System</v>
      </c>
      <c r="C21" s="23" t="str">
        <f>'Standard Estimator - SALES'!D20</f>
        <v>UI kit: typography styles</v>
      </c>
      <c r="D21" s="23" t="str">
        <f>'Standard Estimator - SALES'!G20</f>
        <v/>
      </c>
      <c r="E21" s="23" t="str">
        <f>if('Standard Estimator - SALES'!F20="VARIABLE", 'Standard Estimator - SALES'!H20, "")</f>
        <v/>
      </c>
      <c r="F21" s="23" t="str">
        <f>'Standard Estimator - SALES'!Q20</f>
        <v/>
      </c>
      <c r="H21" s="16" t="str">
        <f>'Standard Estimator - SALES'!E20</f>
        <v>NO</v>
      </c>
    </row>
    <row r="22">
      <c r="A22" s="23" t="str">
        <f>'Standard Estimator - SALES'!B21</f>
        <v>Design</v>
      </c>
      <c r="B22" s="23" t="str">
        <f>'Standard Estimator - SALES'!C21</f>
        <v>UI System</v>
      </c>
      <c r="C22" s="23" t="str">
        <f>'Standard Estimator - SALES'!D21</f>
        <v>UI kit: color tokens + semantic roles</v>
      </c>
      <c r="D22" s="23" t="str">
        <f>'Standard Estimator - SALES'!G21</f>
        <v/>
      </c>
      <c r="E22" s="23" t="str">
        <f>if('Standard Estimator - SALES'!F21="VARIABLE", 'Standard Estimator - SALES'!H21, "")</f>
        <v/>
      </c>
      <c r="F22" s="23" t="str">
        <f>'Standard Estimator - SALES'!Q21</f>
        <v/>
      </c>
      <c r="H22" s="16" t="str">
        <f>'Standard Estimator - SALES'!E21</f>
        <v>NO</v>
      </c>
    </row>
    <row r="23" ht="15.75" customHeight="1">
      <c r="A23" s="23" t="str">
        <f>'Standard Estimator - SALES'!B22</f>
        <v>Design</v>
      </c>
      <c r="B23" s="23" t="str">
        <f>'Standard Estimator - SALES'!C22</f>
        <v>UI System</v>
      </c>
      <c r="C23" s="23" t="str">
        <f>'Standard Estimator - SALES'!D22</f>
        <v>UI kit: spacing scale + layout primitives</v>
      </c>
      <c r="D23" s="23" t="str">
        <f>'Standard Estimator - SALES'!G22</f>
        <v/>
      </c>
      <c r="E23" s="23" t="str">
        <f>if('Standard Estimator - SALES'!F22="VARIABLE", 'Standard Estimator - SALES'!H22, "")</f>
        <v/>
      </c>
      <c r="F23" s="23" t="str">
        <f>'Standard Estimator - SALES'!Q22</f>
        <v/>
      </c>
      <c r="H23" s="16" t="str">
        <f>'Standard Estimator - SALES'!E22</f>
        <v>NO</v>
      </c>
    </row>
    <row r="24" ht="15.75" customHeight="1">
      <c r="A24" s="23" t="str">
        <f>'Standard Estimator - SALES'!B23</f>
        <v>Design</v>
      </c>
      <c r="B24" s="23" t="str">
        <f>'Standard Estimator - SALES'!C23</f>
        <v>UI System</v>
      </c>
      <c r="C24" s="23" t="str">
        <f>'Standard Estimator - SALES'!D23</f>
        <v>Component design: buttons (states)</v>
      </c>
      <c r="D24" s="23" t="str">
        <f>'Standard Estimator - SALES'!G23</f>
        <v/>
      </c>
      <c r="E24" s="23" t="str">
        <f>if('Standard Estimator - SALES'!F23="VARIABLE", 'Standard Estimator - SALES'!H23, "")</f>
        <v/>
      </c>
      <c r="F24" s="23" t="str">
        <f>'Standard Estimator - SALES'!Q23</f>
        <v/>
      </c>
      <c r="H24" s="16" t="str">
        <f>'Standard Estimator - SALES'!E23</f>
        <v>NO</v>
      </c>
    </row>
    <row r="25" ht="15.75" customHeight="1">
      <c r="A25" s="23" t="str">
        <f>'Standard Estimator - SALES'!B24</f>
        <v>Design</v>
      </c>
      <c r="B25" s="23" t="str">
        <f>'Standard Estimator - SALES'!C24</f>
        <v>UI System</v>
      </c>
      <c r="C25" s="23" t="str">
        <f>'Standard Estimator - SALES'!D24</f>
        <v>Component design: forms (inputs, selects, errors)</v>
      </c>
      <c r="D25" s="23" t="str">
        <f>'Standard Estimator - SALES'!G24</f>
        <v/>
      </c>
      <c r="E25" s="23" t="str">
        <f>if('Standard Estimator - SALES'!F24="VARIABLE", 'Standard Estimator - SALES'!H24, "")</f>
        <v/>
      </c>
      <c r="F25" s="23" t="str">
        <f>'Standard Estimator - SALES'!Q24</f>
        <v/>
      </c>
      <c r="H25" s="16" t="str">
        <f>'Standard Estimator - SALES'!E24</f>
        <v>NO</v>
      </c>
    </row>
    <row r="26" ht="15.75" customHeight="1">
      <c r="A26" s="23" t="str">
        <f>'Standard Estimator - SALES'!B25</f>
        <v>Design</v>
      </c>
      <c r="B26" s="23" t="str">
        <f>'Standard Estimator - SALES'!C25</f>
        <v>UI System</v>
      </c>
      <c r="C26" s="23" t="str">
        <f>'Standard Estimator - SALES'!D25</f>
        <v>Component design: cards (variants)</v>
      </c>
      <c r="D26" s="23" t="str">
        <f>'Standard Estimator - SALES'!G25</f>
        <v/>
      </c>
      <c r="E26" s="23" t="str">
        <f>if('Standard Estimator - SALES'!F25="VARIABLE", 'Standard Estimator - SALES'!H25, "")</f>
        <v/>
      </c>
      <c r="F26" s="23" t="str">
        <f>'Standard Estimator - SALES'!Q25</f>
        <v/>
      </c>
      <c r="H26" s="16" t="str">
        <f>'Standard Estimator - SALES'!E25</f>
        <v>NO</v>
      </c>
    </row>
    <row r="27" ht="15.75" customHeight="1">
      <c r="A27" s="23" t="str">
        <f>'Standard Estimator - SALES'!B26</f>
        <v>Design</v>
      </c>
      <c r="B27" s="23" t="str">
        <f>'Standard Estimator - SALES'!C26</f>
        <v>UI System</v>
      </c>
      <c r="C27" s="23" t="str">
        <f>'Standard Estimator - SALES'!D26</f>
        <v>Component design: accordions + tabs</v>
      </c>
      <c r="D27" s="23" t="str">
        <f>'Standard Estimator - SALES'!G26</f>
        <v/>
      </c>
      <c r="E27" s="23" t="str">
        <f>if('Standard Estimator - SALES'!F26="VARIABLE", 'Standard Estimator - SALES'!H26, "")</f>
        <v/>
      </c>
      <c r="F27" s="23" t="str">
        <f>'Standard Estimator - SALES'!Q26</f>
        <v/>
      </c>
      <c r="H27" s="16" t="str">
        <f>'Standard Estimator - SALES'!E26</f>
        <v>NO</v>
      </c>
    </row>
    <row r="28" ht="15.75" customHeight="1">
      <c r="A28" s="23" t="str">
        <f>'Standard Estimator - SALES'!B27</f>
        <v>Design</v>
      </c>
      <c r="B28" s="23" t="str">
        <f>'Standard Estimator - SALES'!C27</f>
        <v>UI System</v>
      </c>
      <c r="C28" s="23" t="str">
        <f>'Standard Estimator - SALES'!D27</f>
        <v>Component design: sliders/carousels</v>
      </c>
      <c r="D28" s="23" t="str">
        <f>'Standard Estimator - SALES'!G27</f>
        <v/>
      </c>
      <c r="E28" s="23" t="str">
        <f>if('Standard Estimator - SALES'!F27="VARIABLE", 'Standard Estimator - SALES'!H27, "")</f>
        <v/>
      </c>
      <c r="F28" s="23" t="str">
        <f>'Standard Estimator - SALES'!Q27</f>
        <v/>
      </c>
      <c r="H28" s="16" t="str">
        <f>'Standard Estimator - SALES'!E27</f>
        <v>NO</v>
      </c>
    </row>
    <row r="29" ht="15.75" customHeight="1">
      <c r="A29" s="23" t="str">
        <f>'Standard Estimator - SALES'!B28</f>
        <v>Design</v>
      </c>
      <c r="B29" s="23" t="str">
        <f>'Standard Estimator - SALES'!C28</f>
        <v>UI System</v>
      </c>
      <c r="C29" s="23" t="str">
        <f>'Standard Estimator - SALES'!D28</f>
        <v>Component design: pricing table</v>
      </c>
      <c r="D29" s="23" t="str">
        <f>'Standard Estimator - SALES'!G28</f>
        <v/>
      </c>
      <c r="E29" s="23" t="str">
        <f>if('Standard Estimator - SALES'!F28="VARIABLE", 'Standard Estimator - SALES'!H28, "")</f>
        <v/>
      </c>
      <c r="F29" s="23" t="str">
        <f>'Standard Estimator - SALES'!Q28</f>
        <v/>
      </c>
      <c r="H29" s="16" t="str">
        <f>'Standard Estimator - SALES'!E28</f>
        <v>NO</v>
      </c>
    </row>
    <row r="30" ht="15.75" customHeight="1">
      <c r="A30" s="23" t="str">
        <f>'Standard Estimator - SALES'!B29</f>
        <v>Design</v>
      </c>
      <c r="B30" s="23" t="str">
        <f>'Standard Estimator - SALES'!C29</f>
        <v>UI System</v>
      </c>
      <c r="C30" s="23" t="str">
        <f>'Standard Estimator - SALES'!D29</f>
        <v>Component design: testimonials</v>
      </c>
      <c r="D30" s="23" t="str">
        <f>'Standard Estimator - SALES'!G29</f>
        <v/>
      </c>
      <c r="E30" s="23" t="str">
        <f>if('Standard Estimator - SALES'!F29="VARIABLE", 'Standard Estimator - SALES'!H29, "")</f>
        <v/>
      </c>
      <c r="F30" s="23" t="str">
        <f>'Standard Estimator - SALES'!Q29</f>
        <v/>
      </c>
      <c r="H30" s="16" t="str">
        <f>'Standard Estimator - SALES'!E29</f>
        <v>NO</v>
      </c>
    </row>
    <row r="31" ht="15.75" customHeight="1">
      <c r="A31" s="23" t="str">
        <f>'Standard Estimator - SALES'!B30</f>
        <v>Design</v>
      </c>
      <c r="B31" s="23" t="str">
        <f>'Standard Estimator - SALES'!C30</f>
        <v>UI System</v>
      </c>
      <c r="C31" s="23" t="str">
        <f>'Standard Estimator - SALES'!D30</f>
        <v>Component design: CTAs (banner, inline, sticky)</v>
      </c>
      <c r="D31" s="23" t="str">
        <f>'Standard Estimator - SALES'!G30</f>
        <v/>
      </c>
      <c r="E31" s="23" t="str">
        <f>if('Standard Estimator - SALES'!F30="VARIABLE", 'Standard Estimator - SALES'!H30, "")</f>
        <v/>
      </c>
      <c r="F31" s="23" t="str">
        <f>'Standard Estimator - SALES'!Q30</f>
        <v/>
      </c>
      <c r="H31" s="16" t="str">
        <f>'Standard Estimator - SALES'!E30</f>
        <v>NO</v>
      </c>
    </row>
    <row r="32" ht="15.75" customHeight="1">
      <c r="A32" s="23" t="str">
        <f>'Standard Estimator - SALES'!B31</f>
        <v>Design</v>
      </c>
      <c r="B32" s="23" t="str">
        <f>'Standard Estimator - SALES'!C31</f>
        <v>UI System</v>
      </c>
      <c r="C32" s="23" t="str">
        <f>'Standard Estimator - SALES'!D31</f>
        <v>Component design: navigation (desktop)</v>
      </c>
      <c r="D32" s="23" t="str">
        <f>'Standard Estimator - SALES'!G31</f>
        <v/>
      </c>
      <c r="E32" s="23" t="str">
        <f>if('Standard Estimator - SALES'!F31="VARIABLE", 'Standard Estimator - SALES'!H31, "")</f>
        <v/>
      </c>
      <c r="F32" s="23" t="str">
        <f>'Standard Estimator - SALES'!Q31</f>
        <v/>
      </c>
      <c r="H32" s="16" t="str">
        <f>'Standard Estimator - SALES'!E31</f>
        <v>NO</v>
      </c>
    </row>
    <row r="33" ht="15.75" customHeight="1">
      <c r="A33" s="23" t="str">
        <f>'Standard Estimator - SALES'!B32</f>
        <v>Design</v>
      </c>
      <c r="B33" s="23" t="str">
        <f>'Standard Estimator - SALES'!C32</f>
        <v>UI System</v>
      </c>
      <c r="C33" s="23" t="str">
        <f>'Standard Estimator - SALES'!D32</f>
        <v>Component design: navigation (mobile)</v>
      </c>
      <c r="D33" s="23" t="str">
        <f>'Standard Estimator - SALES'!G32</f>
        <v/>
      </c>
      <c r="E33" s="23" t="str">
        <f>if('Standard Estimator - SALES'!F32="VARIABLE", 'Standard Estimator - SALES'!H32, "")</f>
        <v/>
      </c>
      <c r="F33" s="23" t="str">
        <f>'Standard Estimator - SALES'!Q32</f>
        <v/>
      </c>
      <c r="H33" s="16" t="str">
        <f>'Standard Estimator - SALES'!E32</f>
        <v>NO</v>
      </c>
    </row>
    <row r="34" ht="15.75" customHeight="1">
      <c r="A34" s="23" t="str">
        <f>'Standard Estimator - SALES'!B33</f>
        <v>Design</v>
      </c>
      <c r="B34" s="23" t="str">
        <f>'Standard Estimator - SALES'!C33</f>
        <v>UI System</v>
      </c>
      <c r="C34" s="23" t="str">
        <f>'Standard Estimator - SALES'!D33</f>
        <v>Component design: footer system</v>
      </c>
      <c r="D34" s="23" t="str">
        <f>'Standard Estimator - SALES'!G33</f>
        <v/>
      </c>
      <c r="E34" s="23" t="str">
        <f>if('Standard Estimator - SALES'!F33="VARIABLE", 'Standard Estimator - SALES'!H33, "")</f>
        <v/>
      </c>
      <c r="F34" s="23" t="str">
        <f>'Standard Estimator - SALES'!Q33</f>
        <v/>
      </c>
      <c r="H34" s="16" t="str">
        <f>'Standard Estimator - SALES'!E33</f>
        <v>NO</v>
      </c>
    </row>
    <row r="35" ht="15.75" customHeight="1">
      <c r="A35" s="23" t="str">
        <f>'Standard Estimator - SALES'!B34</f>
        <v>Design</v>
      </c>
      <c r="B35" s="23" t="str">
        <f>'Standard Estimator - SALES'!C34</f>
        <v>Page UI</v>
      </c>
      <c r="C35" s="23" t="str">
        <f>'Standard Estimator - SALES'!D34</f>
        <v>Homepage UI design</v>
      </c>
      <c r="D35" s="23" t="str">
        <f>'Standard Estimator - SALES'!G34</f>
        <v/>
      </c>
      <c r="E35" s="23" t="str">
        <f>if('Standard Estimator - SALES'!F34="VARIABLE", 'Standard Estimator - SALES'!H34, "")</f>
        <v/>
      </c>
      <c r="F35" s="23" t="str">
        <f>'Standard Estimator - SALES'!Q34</f>
        <v/>
      </c>
      <c r="H35" s="16" t="str">
        <f>'Standard Estimator - SALES'!E34</f>
        <v>NO</v>
      </c>
    </row>
    <row r="36" ht="15.75" customHeight="1">
      <c r="A36" s="23" t="str">
        <f>'Standard Estimator - SALES'!B35</f>
        <v>Design</v>
      </c>
      <c r="B36" s="23" t="str">
        <f>'Standard Estimator - SALES'!C35</f>
        <v>Page UI</v>
      </c>
      <c r="C36" s="23" t="str">
        <f>'Standard Estimator - SALES'!D35</f>
        <v>Pillar / solution page UI design</v>
      </c>
      <c r="D36" s="23" t="str">
        <f>'Standard Estimator - SALES'!G35</f>
        <v/>
      </c>
      <c r="E36" s="23" t="str">
        <f>if('Standard Estimator - SALES'!F35="VARIABLE", 'Standard Estimator - SALES'!H35, "")</f>
        <v/>
      </c>
      <c r="F36" s="23" t="str">
        <f>'Standard Estimator - SALES'!Q35</f>
        <v/>
      </c>
      <c r="H36" s="16" t="str">
        <f>'Standard Estimator - SALES'!E35</f>
        <v>NO</v>
      </c>
    </row>
    <row r="37" ht="15.75" customHeight="1">
      <c r="A37" s="23" t="str">
        <f>'Standard Estimator - SALES'!B36</f>
        <v>Design</v>
      </c>
      <c r="B37" s="23" t="str">
        <f>'Standard Estimator - SALES'!C36</f>
        <v>Page UI</v>
      </c>
      <c r="C37" s="23" t="str">
        <f>'Standard Estimator - SALES'!D36</f>
        <v>Use case page UI design</v>
      </c>
      <c r="D37" s="23" t="str">
        <f>'Standard Estimator - SALES'!G36</f>
        <v/>
      </c>
      <c r="E37" s="23" t="str">
        <f>if('Standard Estimator - SALES'!F36="VARIABLE", 'Standard Estimator - SALES'!H36, "")</f>
        <v/>
      </c>
      <c r="F37" s="23" t="str">
        <f>'Standard Estimator - SALES'!Q36</f>
        <v/>
      </c>
      <c r="H37" s="16" t="str">
        <f>'Standard Estimator - SALES'!E36</f>
        <v>NO</v>
      </c>
    </row>
    <row r="38" ht="15.75" customHeight="1">
      <c r="A38" s="23" t="str">
        <f>'Standard Estimator - SALES'!B37</f>
        <v>Design</v>
      </c>
      <c r="B38" s="23" t="str">
        <f>'Standard Estimator - SALES'!C37</f>
        <v>Page UI</v>
      </c>
      <c r="C38" s="23" t="str">
        <f>'Standard Estimator - SALES'!D37</f>
        <v>Industry page UI design</v>
      </c>
      <c r="D38" s="23" t="str">
        <f>'Standard Estimator - SALES'!G37</f>
        <v/>
      </c>
      <c r="E38" s="23" t="str">
        <f>if('Standard Estimator - SALES'!F37="VARIABLE", 'Standard Estimator - SALES'!H37, "")</f>
        <v/>
      </c>
      <c r="F38" s="23" t="str">
        <f>'Standard Estimator - SALES'!Q37</f>
        <v/>
      </c>
      <c r="H38" s="16" t="str">
        <f>'Standard Estimator - SALES'!E37</f>
        <v>NO</v>
      </c>
    </row>
    <row r="39" ht="15.75" customHeight="1">
      <c r="A39" s="23" t="str">
        <f>'Standard Estimator - SALES'!B38</f>
        <v>Design</v>
      </c>
      <c r="B39" s="23" t="str">
        <f>'Standard Estimator - SALES'!C38</f>
        <v>Page UI</v>
      </c>
      <c r="C39" s="23" t="str">
        <f>'Standard Estimator - SALES'!D38</f>
        <v>Product overview page UI design</v>
      </c>
      <c r="D39" s="23" t="str">
        <f>'Standard Estimator - SALES'!G38</f>
        <v/>
      </c>
      <c r="E39" s="23" t="str">
        <f>if('Standard Estimator - SALES'!F38="VARIABLE", 'Standard Estimator - SALES'!H38, "")</f>
        <v/>
      </c>
      <c r="F39" s="23" t="str">
        <f>'Standard Estimator - SALES'!Q38</f>
        <v/>
      </c>
      <c r="H39" s="16" t="str">
        <f>'Standard Estimator - SALES'!E38</f>
        <v>NO</v>
      </c>
    </row>
    <row r="40" ht="15.75" customHeight="1">
      <c r="A40" s="23" t="str">
        <f>'Standard Estimator - SALES'!B39</f>
        <v>Design</v>
      </c>
      <c r="B40" s="23" t="str">
        <f>'Standard Estimator - SALES'!C39</f>
        <v>Page UI</v>
      </c>
      <c r="C40" s="23" t="str">
        <f>'Standard Estimator - SALES'!D39</f>
        <v>Product detail page UI design</v>
      </c>
      <c r="D40" s="23" t="str">
        <f>'Standard Estimator - SALES'!G39</f>
        <v/>
      </c>
      <c r="E40" s="23" t="str">
        <f>if('Standard Estimator - SALES'!F39="VARIABLE", 'Standard Estimator - SALES'!H39, "")</f>
        <v/>
      </c>
      <c r="F40" s="23" t="str">
        <f>'Standard Estimator - SALES'!Q39</f>
        <v/>
      </c>
      <c r="H40" s="16" t="str">
        <f>'Standard Estimator - SALES'!E39</f>
        <v>NO</v>
      </c>
    </row>
    <row r="41" ht="15.75" customHeight="1">
      <c r="A41" s="23" t="str">
        <f>'Standard Estimator - SALES'!B40</f>
        <v>Design</v>
      </c>
      <c r="B41" s="23" t="str">
        <f>'Standard Estimator - SALES'!C40</f>
        <v>Page UI</v>
      </c>
      <c r="C41" s="23" t="str">
        <f>'Standard Estimator - SALES'!D40</f>
        <v>Integrations listing page UI design</v>
      </c>
      <c r="D41" s="23" t="str">
        <f>'Standard Estimator - SALES'!G40</f>
        <v/>
      </c>
      <c r="E41" s="23" t="str">
        <f>if('Standard Estimator - SALES'!F40="VARIABLE", 'Standard Estimator - SALES'!H40, "")</f>
        <v/>
      </c>
      <c r="F41" s="23" t="str">
        <f>'Standard Estimator - SALES'!Q40</f>
        <v/>
      </c>
      <c r="H41" s="16" t="str">
        <f>'Standard Estimator - SALES'!E40</f>
        <v>NO</v>
      </c>
    </row>
    <row r="42" ht="15.75" customHeight="1">
      <c r="A42" s="23" t="str">
        <f>'Standard Estimator - SALES'!B41</f>
        <v>Design</v>
      </c>
      <c r="B42" s="23" t="str">
        <f>'Standard Estimator - SALES'!C41</f>
        <v>Page UI</v>
      </c>
      <c r="C42" s="23" t="str">
        <f>'Standard Estimator - SALES'!D41</f>
        <v>Integration detail page UI design</v>
      </c>
      <c r="D42" s="23" t="str">
        <f>'Standard Estimator - SALES'!G41</f>
        <v/>
      </c>
      <c r="E42" s="23" t="str">
        <f>if('Standard Estimator - SALES'!F41="VARIABLE", 'Standard Estimator - SALES'!H41, "")</f>
        <v/>
      </c>
      <c r="F42" s="23" t="str">
        <f>'Standard Estimator - SALES'!Q41</f>
        <v/>
      </c>
      <c r="H42" s="16" t="str">
        <f>'Standard Estimator - SALES'!E41</f>
        <v>NO</v>
      </c>
    </row>
    <row r="43" ht="15.75" customHeight="1">
      <c r="A43" s="23" t="str">
        <f>'Standard Estimator - SALES'!B42</f>
        <v>Design</v>
      </c>
      <c r="B43" s="23" t="str">
        <f>'Standard Estimator - SALES'!C42</f>
        <v>Page UI</v>
      </c>
      <c r="C43" s="23" t="str">
        <f>'Standard Estimator - SALES'!D42</f>
        <v>Resource hub UI design</v>
      </c>
      <c r="D43" s="23" t="str">
        <f>'Standard Estimator - SALES'!G42</f>
        <v/>
      </c>
      <c r="E43" s="23" t="str">
        <f>if('Standard Estimator - SALES'!F42="VARIABLE", 'Standard Estimator - SALES'!H42, "")</f>
        <v/>
      </c>
      <c r="F43" s="23" t="str">
        <f>'Standard Estimator - SALES'!Q42</f>
        <v/>
      </c>
      <c r="H43" s="16" t="str">
        <f>'Standard Estimator - SALES'!E42</f>
        <v>NO</v>
      </c>
    </row>
    <row r="44" ht="15.75" customHeight="1">
      <c r="A44" s="23" t="str">
        <f>'Standard Estimator - SALES'!B43</f>
        <v>Design</v>
      </c>
      <c r="B44" s="23" t="str">
        <f>'Standard Estimator - SALES'!C43</f>
        <v>Page UI</v>
      </c>
      <c r="C44" s="23" t="str">
        <f>'Standard Estimator - SALES'!D43</f>
        <v>Blog listing UI design</v>
      </c>
      <c r="D44" s="23" t="str">
        <f>'Standard Estimator - SALES'!G43</f>
        <v/>
      </c>
      <c r="E44" s="23" t="str">
        <f>if('Standard Estimator - SALES'!F43="VARIABLE", 'Standard Estimator - SALES'!H43, "")</f>
        <v/>
      </c>
      <c r="F44" s="23" t="str">
        <f>'Standard Estimator - SALES'!Q43</f>
        <v/>
      </c>
      <c r="H44" s="16" t="str">
        <f>'Standard Estimator - SALES'!E43</f>
        <v>NO</v>
      </c>
    </row>
    <row r="45" ht="15.75" customHeight="1">
      <c r="A45" s="23" t="str">
        <f>'Standard Estimator - SALES'!B44</f>
        <v>Design</v>
      </c>
      <c r="B45" s="23" t="str">
        <f>'Standard Estimator - SALES'!C44</f>
        <v>Page UI</v>
      </c>
      <c r="C45" s="23" t="str">
        <f>'Standard Estimator - SALES'!D44</f>
        <v>Blog article template UI design</v>
      </c>
      <c r="D45" s="23" t="str">
        <f>'Standard Estimator - SALES'!G44</f>
        <v/>
      </c>
      <c r="E45" s="23" t="str">
        <f>if('Standard Estimator - SALES'!F44="VARIABLE", 'Standard Estimator - SALES'!H44, "")</f>
        <v/>
      </c>
      <c r="F45" s="23" t="str">
        <f>'Standard Estimator - SALES'!Q44</f>
        <v/>
      </c>
      <c r="H45" s="16" t="str">
        <f>'Standard Estimator - SALES'!E44</f>
        <v>NO</v>
      </c>
    </row>
    <row r="46" ht="15.75" customHeight="1">
      <c r="A46" s="23" t="str">
        <f>'Standard Estimator - SALES'!B45</f>
        <v>Design</v>
      </c>
      <c r="B46" s="23" t="str">
        <f>'Standard Estimator - SALES'!C45</f>
        <v>Page UI</v>
      </c>
      <c r="C46" s="23" t="str">
        <f>'Standard Estimator - SALES'!D45</f>
        <v>Case study template UI design</v>
      </c>
      <c r="D46" s="23" t="str">
        <f>'Standard Estimator - SALES'!G45</f>
        <v/>
      </c>
      <c r="E46" s="23" t="str">
        <f>if('Standard Estimator - SALES'!F45="VARIABLE", 'Standard Estimator - SALES'!H45, "")</f>
        <v/>
      </c>
      <c r="F46" s="23" t="str">
        <f>'Standard Estimator - SALES'!Q45</f>
        <v/>
      </c>
      <c r="H46" s="16" t="str">
        <f>'Standard Estimator - SALES'!E45</f>
        <v>NO</v>
      </c>
    </row>
    <row r="47" ht="15.75" customHeight="1">
      <c r="A47" s="23" t="str">
        <f>'Standard Estimator - SALES'!B46</f>
        <v>Design</v>
      </c>
      <c r="B47" s="23" t="str">
        <f>'Standard Estimator - SALES'!C46</f>
        <v>Page UI</v>
      </c>
      <c r="C47" s="23" t="str">
        <f>'Standard Estimator - SALES'!D46</f>
        <v>Case study page UI design (example)</v>
      </c>
      <c r="D47" s="23" t="str">
        <f>'Standard Estimator - SALES'!G46</f>
        <v/>
      </c>
      <c r="E47" s="23" t="str">
        <f>if('Standard Estimator - SALES'!F46="VARIABLE", 'Standard Estimator - SALES'!H46, "")</f>
        <v/>
      </c>
      <c r="F47" s="23" t="str">
        <f>'Standard Estimator - SALES'!Q46</f>
        <v/>
      </c>
      <c r="H47" s="16" t="str">
        <f>'Standard Estimator - SALES'!E46</f>
        <v>NO</v>
      </c>
    </row>
    <row r="48" ht="15.75" customHeight="1">
      <c r="A48" s="23" t="str">
        <f>'Standard Estimator - SALES'!B47</f>
        <v>Design</v>
      </c>
      <c r="B48" s="23" t="str">
        <f>'Standard Estimator - SALES'!C47</f>
        <v>Page UI</v>
      </c>
      <c r="C48" s="23" t="str">
        <f>'Standard Estimator - SALES'!D47</f>
        <v>About page UI design</v>
      </c>
      <c r="D48" s="23" t="str">
        <f>'Standard Estimator - SALES'!G47</f>
        <v/>
      </c>
      <c r="E48" s="23" t="str">
        <f>if('Standard Estimator - SALES'!F47="VARIABLE", 'Standard Estimator - SALES'!H47, "")</f>
        <v/>
      </c>
      <c r="F48" s="23" t="str">
        <f>'Standard Estimator - SALES'!Q47</f>
        <v/>
      </c>
      <c r="H48" s="16" t="str">
        <f>'Standard Estimator - SALES'!E47</f>
        <v>NO</v>
      </c>
    </row>
    <row r="49" ht="15.75" customHeight="1">
      <c r="A49" s="23" t="str">
        <f>'Standard Estimator - SALES'!B48</f>
        <v>Design</v>
      </c>
      <c r="B49" s="23" t="str">
        <f>'Standard Estimator - SALES'!C48</f>
        <v>Page UI</v>
      </c>
      <c r="C49" s="23" t="str">
        <f>'Standard Estimator - SALES'!D48</f>
        <v>Contact/Demo page UI design</v>
      </c>
      <c r="D49" s="23" t="str">
        <f>'Standard Estimator - SALES'!G48</f>
        <v/>
      </c>
      <c r="E49" s="23" t="str">
        <f>if('Standard Estimator - SALES'!F48="VARIABLE", 'Standard Estimator - SALES'!H48, "")</f>
        <v/>
      </c>
      <c r="F49" s="23" t="str">
        <f>'Standard Estimator - SALES'!Q48</f>
        <v/>
      </c>
      <c r="H49" s="16" t="str">
        <f>'Standard Estimator - SALES'!E48</f>
        <v>NO</v>
      </c>
    </row>
    <row r="50" ht="15.75" customHeight="1">
      <c r="A50" s="23" t="str">
        <f>'Standard Estimator - SALES'!B49</f>
        <v>Design</v>
      </c>
      <c r="B50" s="23" t="str">
        <f>'Standard Estimator - SALES'!C49</f>
        <v>Page UI</v>
      </c>
      <c r="C50" s="23" t="str">
        <f>'Standard Estimator - SALES'!D49</f>
        <v>Pricing page UI design</v>
      </c>
      <c r="D50" s="23" t="str">
        <f>'Standard Estimator - SALES'!G49</f>
        <v/>
      </c>
      <c r="E50" s="23" t="str">
        <f>if('Standard Estimator - SALES'!F49="VARIABLE", 'Standard Estimator - SALES'!H49, "")</f>
        <v/>
      </c>
      <c r="F50" s="23" t="str">
        <f>'Standard Estimator - SALES'!Q49</f>
        <v/>
      </c>
      <c r="H50" s="16" t="str">
        <f>'Standard Estimator - SALES'!E49</f>
        <v>NO</v>
      </c>
    </row>
    <row r="51" ht="15.75" customHeight="1">
      <c r="A51" s="23" t="str">
        <f>'Standard Estimator - SALES'!B50</f>
        <v>Design</v>
      </c>
      <c r="B51" s="23" t="str">
        <f>'Standard Estimator - SALES'!C50</f>
        <v>Page UI</v>
      </c>
      <c r="C51" s="23" t="str">
        <f>'Standard Estimator - SALES'!D50</f>
        <v>Security/Compliance page UI design</v>
      </c>
      <c r="D51" s="23" t="str">
        <f>'Standard Estimator - SALES'!G50</f>
        <v/>
      </c>
      <c r="E51" s="23" t="str">
        <f>if('Standard Estimator - SALES'!F50="VARIABLE", 'Standard Estimator - SALES'!H50, "")</f>
        <v/>
      </c>
      <c r="F51" s="23" t="str">
        <f>'Standard Estimator - SALES'!Q50</f>
        <v/>
      </c>
      <c r="H51" s="16" t="str">
        <f>'Standard Estimator - SALES'!E50</f>
        <v>NO</v>
      </c>
    </row>
    <row r="52" ht="15.75" customHeight="1">
      <c r="A52" s="23" t="str">
        <f>'Standard Estimator - SALES'!B51</f>
        <v>Design</v>
      </c>
      <c r="B52" s="23" t="str">
        <f>'Standard Estimator - SALES'!C51</f>
        <v>Page UI</v>
      </c>
      <c r="C52" s="23" t="str">
        <f>'Standard Estimator - SALES'!D51</f>
        <v>Careers listing UI design</v>
      </c>
      <c r="D52" s="23" t="str">
        <f>'Standard Estimator - SALES'!G51</f>
        <v/>
      </c>
      <c r="E52" s="23" t="str">
        <f>if('Standard Estimator - SALES'!F51="VARIABLE", 'Standard Estimator - SALES'!H51, "")</f>
        <v/>
      </c>
      <c r="F52" s="23" t="str">
        <f>'Standard Estimator - SALES'!Q51</f>
        <v/>
      </c>
      <c r="H52" s="16" t="str">
        <f>'Standard Estimator - SALES'!E51</f>
        <v>NO</v>
      </c>
    </row>
    <row r="53" ht="15.75" customHeight="1">
      <c r="A53" s="23" t="str">
        <f>'Standard Estimator - SALES'!B52</f>
        <v>Design</v>
      </c>
      <c r="B53" s="23" t="str">
        <f>'Standard Estimator - SALES'!C52</f>
        <v>Page UI</v>
      </c>
      <c r="C53" s="23" t="str">
        <f>'Standard Estimator - SALES'!D52</f>
        <v>Job detail page UI design</v>
      </c>
      <c r="D53" s="23" t="str">
        <f>'Standard Estimator - SALES'!G52</f>
        <v/>
      </c>
      <c r="E53" s="23" t="str">
        <f>if('Standard Estimator - SALES'!F52="VARIABLE", 'Standard Estimator - SALES'!H52, "")</f>
        <v/>
      </c>
      <c r="F53" s="23" t="str">
        <f>'Standard Estimator - SALES'!Q52</f>
        <v/>
      </c>
      <c r="H53" s="16" t="str">
        <f>'Standard Estimator - SALES'!E52</f>
        <v>NO</v>
      </c>
    </row>
    <row r="54" ht="15.75" customHeight="1">
      <c r="A54" s="23" t="str">
        <f>'Standard Estimator - SALES'!B53</f>
        <v>Design</v>
      </c>
      <c r="B54" s="23" t="str">
        <f>'Standard Estimator - SALES'!C53</f>
        <v>Page UI</v>
      </c>
      <c r="C54" s="23" t="str">
        <f>'Standard Estimator - SALES'!D53</f>
        <v>Legal template UI design</v>
      </c>
      <c r="D54" s="23" t="str">
        <f>'Standard Estimator - SALES'!G53</f>
        <v/>
      </c>
      <c r="E54" s="23" t="str">
        <f>if('Standard Estimator - SALES'!F53="VARIABLE", 'Standard Estimator - SALES'!H53, "")</f>
        <v/>
      </c>
      <c r="F54" s="23" t="str">
        <f>'Standard Estimator - SALES'!Q53</f>
        <v/>
      </c>
      <c r="H54" s="16" t="str">
        <f>'Standard Estimator - SALES'!E53</f>
        <v>NO</v>
      </c>
    </row>
    <row r="55" ht="15.75" customHeight="1">
      <c r="A55" s="23" t="str">
        <f>'Standard Estimator - SALES'!B54</f>
        <v>Design</v>
      </c>
      <c r="B55" s="23" t="str">
        <f>'Standard Estimator - SALES'!C54</f>
        <v>Page UI</v>
      </c>
      <c r="C55" s="23" t="str">
        <f>'Standard Estimator - SALES'!D54</f>
        <v>404 page UI design</v>
      </c>
      <c r="D55" s="23" t="str">
        <f>'Standard Estimator - SALES'!G54</f>
        <v/>
      </c>
      <c r="E55" s="23" t="str">
        <f>if('Standard Estimator - SALES'!F54="VARIABLE", 'Standard Estimator - SALES'!H54, "")</f>
        <v/>
      </c>
      <c r="F55" s="23" t="str">
        <f>'Standard Estimator - SALES'!Q54</f>
        <v/>
      </c>
      <c r="H55" s="16" t="str">
        <f>'Standard Estimator - SALES'!E54</f>
        <v>NO</v>
      </c>
    </row>
    <row r="56" ht="15.75" customHeight="1">
      <c r="A56" s="23" t="str">
        <f>'Standard Estimator - SALES'!B55</f>
        <v>Design</v>
      </c>
      <c r="B56" s="23" t="str">
        <f>'Standard Estimator - SALES'!C55</f>
        <v>Graphics</v>
      </c>
      <c r="C56" s="23" t="str">
        <f>'Standard Estimator - SALES'!D55</f>
        <v>Hero illustration / composite (per page)</v>
      </c>
      <c r="D56" s="23" t="str">
        <f>'Standard Estimator - SALES'!G55</f>
        <v>Number of pages needing hero illustration / composite:</v>
      </c>
      <c r="E56" s="23" t="str">
        <f>if('Standard Estimator - SALES'!F55="VARIABLE", 'Standard Estimator - SALES'!H55, "")</f>
        <v/>
      </c>
      <c r="F56" s="23" t="str">
        <f>'Standard Estimator - SALES'!Q55</f>
        <v/>
      </c>
      <c r="H56" s="16" t="str">
        <f>'Standard Estimator - SALES'!E55</f>
        <v>NO</v>
      </c>
    </row>
    <row r="57" ht="15.75" customHeight="1">
      <c r="A57" s="23" t="str">
        <f>'Standard Estimator - SALES'!B56</f>
        <v>Design</v>
      </c>
      <c r="B57" s="23" t="str">
        <f>'Standard Estimator - SALES'!C56</f>
        <v>Graphics</v>
      </c>
      <c r="C57" s="23" t="str">
        <f>'Standard Estimator - SALES'!D56</f>
        <v>Product UI mockup (per screenshot)</v>
      </c>
      <c r="D57" s="23" t="str">
        <f>'Standard Estimator - SALES'!G56</f>
        <v>Number of product UI mock up screenshots needed:</v>
      </c>
      <c r="E57" s="23" t="str">
        <f>if('Standard Estimator - SALES'!F56="VARIABLE", 'Standard Estimator - SALES'!H56, "")</f>
        <v/>
      </c>
      <c r="F57" s="23" t="str">
        <f>'Standard Estimator - SALES'!Q56</f>
        <v/>
      </c>
      <c r="H57" s="16" t="str">
        <f>'Standard Estimator - SALES'!E56</f>
        <v>NO</v>
      </c>
    </row>
    <row r="58" ht="15.75" customHeight="1">
      <c r="A58" s="23" t="str">
        <f>'Standard Estimator - SALES'!B57</f>
        <v>Design</v>
      </c>
      <c r="B58" s="23" t="str">
        <f>'Standard Estimator - SALES'!C57</f>
        <v>Graphics</v>
      </c>
      <c r="C58" s="23" t="str">
        <f>'Standard Estimator - SALES'!D57</f>
        <v>Feature diagram (per diagram)</v>
      </c>
      <c r="D58" s="23" t="str">
        <f>'Standard Estimator - SALES'!G57</f>
        <v>Number of feature diagrams:</v>
      </c>
      <c r="E58" s="23" t="str">
        <f>if('Standard Estimator - SALES'!F57="VARIABLE", 'Standard Estimator - SALES'!H57, "")</f>
        <v/>
      </c>
      <c r="F58" s="23" t="str">
        <f>'Standard Estimator - SALES'!Q57</f>
        <v/>
      </c>
      <c r="H58" s="16" t="str">
        <f>'Standard Estimator - SALES'!E57</f>
        <v>NO</v>
      </c>
    </row>
    <row r="59" ht="15.75" customHeight="1">
      <c r="A59" s="23" t="str">
        <f>'Standard Estimator - SALES'!B58</f>
        <v>Design</v>
      </c>
      <c r="B59" s="23" t="str">
        <f>'Standard Estimator - SALES'!C58</f>
        <v>Graphics</v>
      </c>
      <c r="C59" s="23" t="str">
        <f>'Standard Estimator - SALES'!D58</f>
        <v>Background pattern / texture</v>
      </c>
      <c r="D59" s="23" t="str">
        <f>'Standard Estimator - SALES'!G58</f>
        <v/>
      </c>
      <c r="E59" s="23" t="str">
        <f>if('Standard Estimator - SALES'!F58="VARIABLE", 'Standard Estimator - SALES'!H58, "")</f>
        <v/>
      </c>
      <c r="F59" s="23" t="str">
        <f>'Standard Estimator - SALES'!Q58</f>
        <v/>
      </c>
      <c r="H59" s="16" t="str">
        <f>'Standard Estimator - SALES'!E58</f>
        <v>NO</v>
      </c>
    </row>
    <row r="60" ht="15.75" customHeight="1">
      <c r="A60" s="23" t="str">
        <f>'Standard Estimator - SALES'!B59</f>
        <v>Design</v>
      </c>
      <c r="B60" s="23" t="str">
        <f>'Standard Estimator - SALES'!C59</f>
        <v>Graphics</v>
      </c>
      <c r="C60" s="23" t="str">
        <f>'Standard Estimator - SALES'!D59</f>
        <v>Image editing + compositing (per image)</v>
      </c>
      <c r="D60" s="23" t="str">
        <f>'Standard Estimator - SALES'!G59</f>
        <v>Number of images assumed for edit/compositing:</v>
      </c>
      <c r="E60" s="23" t="str">
        <f>if('Standard Estimator - SALES'!F59="VARIABLE", 'Standard Estimator - SALES'!H59, "")</f>
        <v/>
      </c>
      <c r="F60" s="23" t="str">
        <f>'Standard Estimator - SALES'!Q59</f>
        <v/>
      </c>
      <c r="H60" s="16" t="str">
        <f>'Standard Estimator - SALES'!E59</f>
        <v>NO</v>
      </c>
    </row>
    <row r="61" ht="15.75" customHeight="1">
      <c r="A61" s="23" t="str">
        <f>'Standard Estimator - SALES'!B60</f>
        <v>Design</v>
      </c>
      <c r="B61" s="23" t="str">
        <f>'Standard Estimator - SALES'!C60</f>
        <v>Graphics</v>
      </c>
      <c r="C61" s="23" t="str">
        <f>'Standard Estimator - SALES'!D60</f>
        <v>Infographic for webpage</v>
      </c>
      <c r="D61" s="23" t="str">
        <f>'Standard Estimator - SALES'!G60</f>
        <v/>
      </c>
      <c r="E61" s="23" t="str">
        <f>if('Standard Estimator - SALES'!F60="VARIABLE", 'Standard Estimator - SALES'!H60, "")</f>
        <v/>
      </c>
      <c r="F61" s="23" t="str">
        <f>'Standard Estimator - SALES'!Q60</f>
        <v/>
      </c>
      <c r="H61" s="16" t="str">
        <f>'Standard Estimator - SALES'!E60</f>
        <v>NO</v>
      </c>
    </row>
    <row r="62" ht="15.75" customHeight="1">
      <c r="A62" s="23" t="str">
        <f>'Standard Estimator - SALES'!B61</f>
        <v>Design</v>
      </c>
      <c r="B62" s="23" t="str">
        <f>'Standard Estimator - SALES'!C61</f>
        <v>Handoff</v>
      </c>
      <c r="C62" s="23" t="str">
        <f>'Standard Estimator - SALES'!D61</f>
        <v>Design-dev handoff walkthrough</v>
      </c>
      <c r="D62" s="23" t="str">
        <f>'Standard Estimator - SALES'!G61</f>
        <v/>
      </c>
      <c r="E62" s="23" t="str">
        <f>if('Standard Estimator - SALES'!F61="VARIABLE", 'Standard Estimator - SALES'!H61, "")</f>
        <v/>
      </c>
      <c r="F62" s="23" t="str">
        <f>'Standard Estimator - SALES'!Q61</f>
        <v/>
      </c>
      <c r="H62" s="16" t="str">
        <f>'Standard Estimator - SALES'!E61</f>
        <v>NO</v>
      </c>
    </row>
    <row r="63" ht="15.75" customHeight="1">
      <c r="A63" s="23" t="str">
        <f>'Standard Estimator - SALES'!B62</f>
        <v>Design</v>
      </c>
      <c r="B63" s="23" t="str">
        <f>'Standard Estimator - SALES'!C62</f>
        <v>Handoff</v>
      </c>
      <c r="C63" s="23" t="str">
        <f>'Standard Estimator - SALES'!D62</f>
        <v>Design QA round (per page)</v>
      </c>
      <c r="D63" s="23" t="str">
        <f>'Standard Estimator - SALES'!G62</f>
        <v>Number of pages needing design QA:</v>
      </c>
      <c r="E63" s="23" t="str">
        <f>if('Standard Estimator - SALES'!F62="VARIABLE", 'Standard Estimator - SALES'!H62, "")</f>
        <v/>
      </c>
      <c r="F63" s="23" t="str">
        <f>'Standard Estimator - SALES'!Q62</f>
        <v/>
      </c>
      <c r="H63" s="16" t="str">
        <f>'Standard Estimator - SALES'!E62</f>
        <v>NO</v>
      </c>
    </row>
    <row r="64" ht="15.75" customHeight="1">
      <c r="A64" s="23" t="str">
        <f>'Standard Estimator - SALES'!B63</f>
        <v>Dev</v>
      </c>
      <c r="B64" s="23" t="str">
        <f>'Standard Estimator - SALES'!C63</f>
        <v>Foundation</v>
      </c>
      <c r="C64" s="23" t="str">
        <f>'Standard Estimator - SALES'!D63</f>
        <v>Webflow project setup + environments</v>
      </c>
      <c r="D64" s="23" t="str">
        <f>'Standard Estimator - SALES'!G63</f>
        <v/>
      </c>
      <c r="E64" s="23" t="str">
        <f>if('Standard Estimator - SALES'!F63="VARIABLE", 'Standard Estimator - SALES'!H63, "")</f>
        <v/>
      </c>
      <c r="F64" s="23" t="str">
        <f>'Standard Estimator - SALES'!Q63</f>
        <v/>
      </c>
      <c r="H64" s="16" t="str">
        <f>'Standard Estimator - SALES'!E63</f>
        <v>NO</v>
      </c>
    </row>
    <row r="65" ht="15.75" customHeight="1">
      <c r="A65" s="23" t="str">
        <f>'Standard Estimator - SALES'!B64</f>
        <v>Dev</v>
      </c>
      <c r="B65" s="23" t="str">
        <f>'Standard Estimator - SALES'!C64</f>
        <v>Foundation</v>
      </c>
      <c r="C65" s="23" t="str">
        <f>'Standard Estimator - SALES'!D64</f>
        <v>Domain + DNS coordination (staging)</v>
      </c>
      <c r="D65" s="23" t="str">
        <f>'Standard Estimator - SALES'!G64</f>
        <v/>
      </c>
      <c r="E65" s="23" t="str">
        <f>if('Standard Estimator - SALES'!F64="VARIABLE", 'Standard Estimator - SALES'!H64, "")</f>
        <v/>
      </c>
      <c r="F65" s="23" t="str">
        <f>'Standard Estimator - SALES'!Q64</f>
        <v/>
      </c>
      <c r="H65" s="16" t="str">
        <f>'Standard Estimator - SALES'!E64</f>
        <v>NO</v>
      </c>
    </row>
    <row r="66" ht="15.75" customHeight="1">
      <c r="A66" s="23" t="str">
        <f>'Standard Estimator - SALES'!B65</f>
        <v>Dev</v>
      </c>
      <c r="B66" s="23" t="str">
        <f>'Standard Estimator - SALES'!C65</f>
        <v>Foundation</v>
      </c>
      <c r="C66" s="23" t="str">
        <f>'Standard Estimator - SALES'!D65</f>
        <v>Global style guide build (classes, variables)</v>
      </c>
      <c r="D66" s="23" t="str">
        <f>'Standard Estimator - SALES'!G65</f>
        <v/>
      </c>
      <c r="E66" s="23" t="str">
        <f>if('Standard Estimator - SALES'!F65="VARIABLE", 'Standard Estimator - SALES'!H65, "")</f>
        <v/>
      </c>
      <c r="F66" s="23" t="str">
        <f>'Standard Estimator - SALES'!Q65</f>
        <v/>
      </c>
      <c r="H66" s="16" t="str">
        <f>'Standard Estimator - SALES'!E65</f>
        <v>NO</v>
      </c>
    </row>
    <row r="67" ht="15.75" customHeight="1">
      <c r="A67" s="23" t="str">
        <f>'Standard Estimator - SALES'!B66</f>
        <v>Dev</v>
      </c>
      <c r="B67" s="23" t="str">
        <f>'Standard Estimator - SALES'!C66</f>
        <v>Foundation</v>
      </c>
      <c r="C67" s="23" t="str">
        <f>'Standard Estimator - SALES'!D66</f>
        <v>Component naming + structure conventions</v>
      </c>
      <c r="D67" s="23" t="str">
        <f>'Standard Estimator - SALES'!G66</f>
        <v/>
      </c>
      <c r="E67" s="23" t="str">
        <f>if('Standard Estimator - SALES'!F66="VARIABLE", 'Standard Estimator - SALES'!H66, "")</f>
        <v/>
      </c>
      <c r="F67" s="23" t="str">
        <f>'Standard Estimator - SALES'!Q66</f>
        <v/>
      </c>
      <c r="H67" s="16" t="str">
        <f>'Standard Estimator - SALES'!E66</f>
        <v>NO</v>
      </c>
    </row>
    <row r="68" ht="15.75" customHeight="1">
      <c r="A68" s="23" t="str">
        <f>'Standard Estimator - SALES'!B67</f>
        <v>Dev</v>
      </c>
      <c r="B68" s="23" t="str">
        <f>'Standard Estimator - SALES'!C67</f>
        <v>Foundation</v>
      </c>
      <c r="C68" s="23" t="str">
        <f>'Standard Estimator - SALES'!D67</f>
        <v>Accessibility baseline (focus states, semantics)</v>
      </c>
      <c r="D68" s="23" t="str">
        <f>'Standard Estimator - SALES'!G67</f>
        <v/>
      </c>
      <c r="E68" s="23" t="str">
        <f>if('Standard Estimator - SALES'!F67="VARIABLE", 'Standard Estimator - SALES'!H67, "")</f>
        <v/>
      </c>
      <c r="F68" s="23" t="str">
        <f>'Standard Estimator - SALES'!Q67</f>
        <v/>
      </c>
      <c r="H68" s="16" t="str">
        <f>'Standard Estimator - SALES'!E67</f>
        <v>NO</v>
      </c>
    </row>
    <row r="69" ht="15.75" customHeight="1">
      <c r="A69" s="23" t="str">
        <f>'Standard Estimator - SALES'!B68</f>
        <v>Dev</v>
      </c>
      <c r="B69" s="23" t="str">
        <f>'Standard Estimator - SALES'!C68</f>
        <v>Foundation</v>
      </c>
      <c r="C69" s="23" t="str">
        <f>'Standard Estimator - SALES'!D68</f>
        <v>Analytics baseline (GTM container embed)</v>
      </c>
      <c r="D69" s="23" t="str">
        <f>'Standard Estimator - SALES'!G68</f>
        <v/>
      </c>
      <c r="E69" s="23" t="str">
        <f>if('Standard Estimator - SALES'!F68="VARIABLE", 'Standard Estimator - SALES'!H68, "")</f>
        <v/>
      </c>
      <c r="F69" s="23" t="str">
        <f>'Standard Estimator - SALES'!Q68</f>
        <v/>
      </c>
      <c r="H69" s="16" t="str">
        <f>'Standard Estimator - SALES'!E68</f>
        <v>NO</v>
      </c>
    </row>
    <row r="70" ht="15.75" customHeight="1">
      <c r="A70" s="23" t="str">
        <f>'Standard Estimator - SALES'!B69</f>
        <v>Dev</v>
      </c>
      <c r="B70" s="23" t="str">
        <f>'Standard Estimator - SALES'!C69</f>
        <v>Components</v>
      </c>
      <c r="C70" s="23" t="str">
        <f>'Standard Estimator - SALES'!D69</f>
        <v>Header – simple nav</v>
      </c>
      <c r="D70" s="23" t="str">
        <f>'Standard Estimator - SALES'!G69</f>
        <v/>
      </c>
      <c r="E70" s="23" t="str">
        <f>if('Standard Estimator - SALES'!F69="VARIABLE", 'Standard Estimator - SALES'!H69, "")</f>
        <v/>
      </c>
      <c r="F70" s="23" t="str">
        <f>'Standard Estimator - SALES'!Q69</f>
        <v/>
      </c>
      <c r="H70" s="16" t="str">
        <f>'Standard Estimator - SALES'!E69</f>
        <v>NO</v>
      </c>
    </row>
    <row r="71" ht="15.75" customHeight="1">
      <c r="A71" s="23" t="str">
        <f>'Standard Estimator - SALES'!B70</f>
        <v>Dev</v>
      </c>
      <c r="B71" s="23" t="str">
        <f>'Standard Estimator - SALES'!C70</f>
        <v>Components</v>
      </c>
      <c r="C71" s="23" t="str">
        <f>'Standard Estimator - SALES'!D70</f>
        <v>Header – mega menu</v>
      </c>
      <c r="D71" s="23" t="str">
        <f>'Standard Estimator - SALES'!G70</f>
        <v/>
      </c>
      <c r="E71" s="23" t="str">
        <f>if('Standard Estimator - SALES'!F70="VARIABLE", 'Standard Estimator - SALES'!H70, "")</f>
        <v/>
      </c>
      <c r="F71" s="23" t="str">
        <f>'Standard Estimator - SALES'!Q70</f>
        <v/>
      </c>
      <c r="H71" s="16" t="str">
        <f>'Standard Estimator - SALES'!E70</f>
        <v>NO</v>
      </c>
    </row>
    <row r="72" ht="15.75" customHeight="1">
      <c r="A72" s="23" t="str">
        <f>'Standard Estimator - SALES'!B71</f>
        <v>Dev</v>
      </c>
      <c r="B72" s="23" t="str">
        <f>'Standard Estimator - SALES'!C71</f>
        <v>Components</v>
      </c>
      <c r="C72" s="23" t="str">
        <f>'Standard Estimator - SALES'!D71</f>
        <v>Mobile nav overlay</v>
      </c>
      <c r="D72" s="23" t="str">
        <f>'Standard Estimator - SALES'!G71</f>
        <v/>
      </c>
      <c r="E72" s="23" t="str">
        <f>if('Standard Estimator - SALES'!F71="VARIABLE", 'Standard Estimator - SALES'!H71, "")</f>
        <v/>
      </c>
      <c r="F72" s="23" t="str">
        <f>'Standard Estimator - SALES'!Q71</f>
        <v/>
      </c>
      <c r="H72" s="16" t="str">
        <f>'Standard Estimator - SALES'!E71</f>
        <v>NO</v>
      </c>
    </row>
    <row r="73" ht="15.75" customHeight="1">
      <c r="A73" s="23" t="str">
        <f>'Standard Estimator - SALES'!B72</f>
        <v>Dev</v>
      </c>
      <c r="B73" s="23" t="str">
        <f>'Standard Estimator - SALES'!C72</f>
        <v>Components</v>
      </c>
      <c r="C73" s="23" t="str">
        <f>'Standard Estimator - SALES'!D72</f>
        <v>Footer – basic</v>
      </c>
      <c r="D73" s="23" t="str">
        <f>'Standard Estimator - SALES'!G72</f>
        <v/>
      </c>
      <c r="E73" s="23" t="str">
        <f>if('Standard Estimator - SALES'!F72="VARIABLE", 'Standard Estimator - SALES'!H72, "")</f>
        <v/>
      </c>
      <c r="F73" s="23" t="str">
        <f>'Standard Estimator - SALES'!Q72</f>
        <v/>
      </c>
      <c r="H73" s="16" t="str">
        <f>'Standard Estimator - SALES'!E72</f>
        <v>NO</v>
      </c>
    </row>
    <row r="74" ht="15.75" customHeight="1">
      <c r="A74" s="23" t="str">
        <f>'Standard Estimator - SALES'!B73</f>
        <v>Dev</v>
      </c>
      <c r="B74" s="23" t="str">
        <f>'Standard Estimator - SALES'!C73</f>
        <v>Components</v>
      </c>
      <c r="C74" s="23" t="str">
        <f>'Standard Estimator - SALES'!D73</f>
        <v>Footer – complex (multi-column + CTAs)</v>
      </c>
      <c r="D74" s="23" t="str">
        <f>'Standard Estimator - SALES'!G73</f>
        <v/>
      </c>
      <c r="E74" s="23" t="str">
        <f>if('Standard Estimator - SALES'!F73="VARIABLE", 'Standard Estimator - SALES'!H73, "")</f>
        <v/>
      </c>
      <c r="F74" s="23" t="str">
        <f>'Standard Estimator - SALES'!Q73</f>
        <v/>
      </c>
      <c r="H74" s="16" t="str">
        <f>'Standard Estimator - SALES'!E73</f>
        <v>NO</v>
      </c>
    </row>
    <row r="75" ht="15.75" customHeight="1">
      <c r="A75" s="23" t="str">
        <f>'Standard Estimator - SALES'!B74</f>
        <v>Dev</v>
      </c>
      <c r="B75" s="23" t="str">
        <f>'Standard Estimator - SALES'!C74</f>
        <v>Components</v>
      </c>
      <c r="C75" s="23" t="str">
        <f>'Standard Estimator - SALES'!D74</f>
        <v>Announcement bar</v>
      </c>
      <c r="D75" s="23" t="str">
        <f>'Standard Estimator - SALES'!G74</f>
        <v/>
      </c>
      <c r="E75" s="23" t="str">
        <f>if('Standard Estimator - SALES'!F74="VARIABLE", 'Standard Estimator - SALES'!H74, "")</f>
        <v/>
      </c>
      <c r="F75" s="23" t="str">
        <f>'Standard Estimator - SALES'!Q74</f>
        <v/>
      </c>
      <c r="H75" s="16" t="str">
        <f>'Standard Estimator - SALES'!E74</f>
        <v>NO</v>
      </c>
    </row>
    <row r="76" ht="15.75" customHeight="1">
      <c r="A76" s="23" t="str">
        <f>'Standard Estimator - SALES'!B75</f>
        <v>Dev</v>
      </c>
      <c r="B76" s="23" t="str">
        <f>'Standard Estimator - SALES'!C75</f>
        <v>Components</v>
      </c>
      <c r="C76" s="23" t="str">
        <f>'Standard Estimator - SALES'!D75</f>
        <v>Hero – standard</v>
      </c>
      <c r="D76" s="23" t="str">
        <f>'Standard Estimator - SALES'!G75</f>
        <v/>
      </c>
      <c r="E76" s="23" t="str">
        <f>if('Standard Estimator - SALES'!F75="VARIABLE", 'Standard Estimator - SALES'!H75, "")</f>
        <v/>
      </c>
      <c r="F76" s="23" t="str">
        <f>'Standard Estimator - SALES'!Q75</f>
        <v/>
      </c>
      <c r="H76" s="16" t="str">
        <f>'Standard Estimator - SALES'!E75</f>
        <v>NO</v>
      </c>
    </row>
    <row r="77" ht="15.75" customHeight="1">
      <c r="A77" s="23" t="str">
        <f>'Standard Estimator - SALES'!B76</f>
        <v>Dev</v>
      </c>
      <c r="B77" s="23" t="str">
        <f>'Standard Estimator - SALES'!C76</f>
        <v>Components</v>
      </c>
      <c r="C77" s="23" t="str">
        <f>'Standard Estimator - SALES'!D76</f>
        <v>Hero – with tabs/slider</v>
      </c>
      <c r="D77" s="23" t="str">
        <f>'Standard Estimator - SALES'!G76</f>
        <v/>
      </c>
      <c r="E77" s="23" t="str">
        <f>if('Standard Estimator - SALES'!F76="VARIABLE", 'Standard Estimator - SALES'!H76, "")</f>
        <v/>
      </c>
      <c r="F77" s="23" t="str">
        <f>'Standard Estimator - SALES'!Q76</f>
        <v/>
      </c>
      <c r="H77" s="16" t="str">
        <f>'Standard Estimator - SALES'!E76</f>
        <v>NO</v>
      </c>
    </row>
    <row r="78" ht="15.75" customHeight="1">
      <c r="A78" s="23" t="str">
        <f>'Standard Estimator - SALES'!B77</f>
        <v>Dev</v>
      </c>
      <c r="B78" s="23" t="str">
        <f>'Standard Estimator - SALES'!C77</f>
        <v>Components</v>
      </c>
      <c r="C78" s="23" t="str">
        <f>'Standard Estimator - SALES'!D77</f>
        <v>Logos strip</v>
      </c>
      <c r="D78" s="23" t="str">
        <f>'Standard Estimator - SALES'!G77</f>
        <v/>
      </c>
      <c r="E78" s="23" t="str">
        <f>if('Standard Estimator - SALES'!F77="VARIABLE", 'Standard Estimator - SALES'!H77, "")</f>
        <v/>
      </c>
      <c r="F78" s="23" t="str">
        <f>'Standard Estimator - SALES'!Q77</f>
        <v/>
      </c>
      <c r="H78" s="16" t="str">
        <f>'Standard Estimator - SALES'!E77</f>
        <v>NO</v>
      </c>
    </row>
    <row r="79" ht="15.75" customHeight="1">
      <c r="A79" s="23" t="str">
        <f>'Standard Estimator - SALES'!B78</f>
        <v>Dev</v>
      </c>
      <c r="B79" s="23" t="str">
        <f>'Standard Estimator - SALES'!C78</f>
        <v>Components</v>
      </c>
      <c r="C79" s="23" t="str">
        <f>'Standard Estimator - SALES'!D78</f>
        <v>Feature grid (2–4 columns)</v>
      </c>
      <c r="D79" s="23" t="str">
        <f>'Standard Estimator - SALES'!G78</f>
        <v/>
      </c>
      <c r="E79" s="23" t="str">
        <f>if('Standard Estimator - SALES'!F78="VARIABLE", 'Standard Estimator - SALES'!H78, "")</f>
        <v/>
      </c>
      <c r="F79" s="23" t="str">
        <f>'Standard Estimator - SALES'!Q78</f>
        <v/>
      </c>
      <c r="H79" s="16" t="str">
        <f>'Standard Estimator - SALES'!E78</f>
        <v>NO</v>
      </c>
    </row>
    <row r="80" ht="15.75" customHeight="1">
      <c r="A80" s="23" t="str">
        <f>'Standard Estimator - SALES'!B79</f>
        <v>Dev</v>
      </c>
      <c r="B80" s="23" t="str">
        <f>'Standard Estimator - SALES'!C79</f>
        <v>Components</v>
      </c>
      <c r="C80" s="23" t="str">
        <f>'Standard Estimator - SALES'!D79</f>
        <v>Feature list (icon + text)</v>
      </c>
      <c r="D80" s="23" t="str">
        <f>'Standard Estimator - SALES'!G79</f>
        <v/>
      </c>
      <c r="E80" s="23" t="str">
        <f>if('Standard Estimator - SALES'!F79="VARIABLE", 'Standard Estimator - SALES'!H79, "")</f>
        <v/>
      </c>
      <c r="F80" s="23" t="str">
        <f>'Standard Estimator - SALES'!Q79</f>
        <v/>
      </c>
      <c r="H80" s="16" t="str">
        <f>'Standard Estimator - SALES'!E79</f>
        <v>NO</v>
      </c>
    </row>
    <row r="81" ht="15.75" customHeight="1">
      <c r="A81" s="23" t="str">
        <f>'Standard Estimator - SALES'!B80</f>
        <v>Dev</v>
      </c>
      <c r="B81" s="23" t="str">
        <f>'Standard Estimator - SALES'!C80</f>
        <v>Components</v>
      </c>
      <c r="C81" s="23" t="str">
        <f>'Standard Estimator - SALES'!D80</f>
        <v>Stats counters</v>
      </c>
      <c r="D81" s="23" t="str">
        <f>'Standard Estimator - SALES'!G80</f>
        <v/>
      </c>
      <c r="E81" s="23" t="str">
        <f>if('Standard Estimator - SALES'!F80="VARIABLE", 'Standard Estimator - SALES'!H80, "")</f>
        <v/>
      </c>
      <c r="F81" s="23" t="str">
        <f>'Standard Estimator - SALES'!Q80</f>
        <v/>
      </c>
      <c r="H81" s="16" t="str">
        <f>'Standard Estimator - SALES'!E80</f>
        <v>NO</v>
      </c>
    </row>
    <row r="82" ht="15.75" customHeight="1">
      <c r="A82" s="23" t="str">
        <f>'Standard Estimator - SALES'!B81</f>
        <v>Dev</v>
      </c>
      <c r="B82" s="23" t="str">
        <f>'Standard Estimator - SALES'!C81</f>
        <v>Components</v>
      </c>
      <c r="C82" s="23" t="str">
        <f>'Standard Estimator - SALES'!D81</f>
        <v>Testimonial slider</v>
      </c>
      <c r="D82" s="23" t="str">
        <f>'Standard Estimator - SALES'!G81</f>
        <v/>
      </c>
      <c r="E82" s="23" t="str">
        <f>if('Standard Estimator - SALES'!F81="VARIABLE", 'Standard Estimator - SALES'!H81, "")</f>
        <v/>
      </c>
      <c r="F82" s="23" t="str">
        <f>'Standard Estimator - SALES'!Q81</f>
        <v/>
      </c>
      <c r="H82" s="16" t="str">
        <f>'Standard Estimator - SALES'!E81</f>
        <v>NO</v>
      </c>
    </row>
    <row r="83" ht="15.75" customHeight="1">
      <c r="A83" s="23" t="str">
        <f>'Standard Estimator - SALES'!B82</f>
        <v>Dev</v>
      </c>
      <c r="B83" s="23" t="str">
        <f>'Standard Estimator - SALES'!C82</f>
        <v>Components</v>
      </c>
      <c r="C83" s="23" t="str">
        <f>'Standard Estimator - SALES'!D82</f>
        <v>Case study teaser card</v>
      </c>
      <c r="D83" s="23" t="str">
        <f>'Standard Estimator - SALES'!G82</f>
        <v/>
      </c>
      <c r="E83" s="23" t="str">
        <f>if('Standard Estimator - SALES'!F82="VARIABLE", 'Standard Estimator - SALES'!H82, "")</f>
        <v/>
      </c>
      <c r="F83" s="23" t="str">
        <f>'Standard Estimator - SALES'!Q82</f>
        <v/>
      </c>
      <c r="H83" s="16" t="str">
        <f>'Standard Estimator - SALES'!E82</f>
        <v>NO</v>
      </c>
    </row>
    <row r="84" ht="15.75" customHeight="1">
      <c r="A84" s="23" t="str">
        <f>'Standard Estimator - SALES'!B83</f>
        <v>Dev</v>
      </c>
      <c r="B84" s="23" t="str">
        <f>'Standard Estimator - SALES'!C83</f>
        <v>Components</v>
      </c>
      <c r="C84" s="23" t="str">
        <f>'Standard Estimator - SALES'!D83</f>
        <v>Pricing table (responsive)</v>
      </c>
      <c r="D84" s="23" t="str">
        <f>'Standard Estimator - SALES'!G83</f>
        <v/>
      </c>
      <c r="E84" s="23" t="str">
        <f>if('Standard Estimator - SALES'!F83="VARIABLE", 'Standard Estimator - SALES'!H83, "")</f>
        <v/>
      </c>
      <c r="F84" s="23" t="str">
        <f>'Standard Estimator - SALES'!Q83</f>
        <v/>
      </c>
      <c r="H84" s="16" t="str">
        <f>'Standard Estimator - SALES'!E83</f>
        <v>NO</v>
      </c>
    </row>
    <row r="85" ht="15.75" customHeight="1">
      <c r="A85" s="23" t="str">
        <f>'Standard Estimator - SALES'!B84</f>
        <v>Dev</v>
      </c>
      <c r="B85" s="23" t="str">
        <f>'Standard Estimator - SALES'!C84</f>
        <v>Components</v>
      </c>
      <c r="C85" s="23" t="str">
        <f>'Standard Estimator - SALES'!D84</f>
        <v>FAQ accordion</v>
      </c>
      <c r="D85" s="23" t="str">
        <f>'Standard Estimator - SALES'!G84</f>
        <v/>
      </c>
      <c r="E85" s="23" t="str">
        <f>if('Standard Estimator - SALES'!F84="VARIABLE", 'Standard Estimator - SALES'!H84, "")</f>
        <v/>
      </c>
      <c r="F85" s="23" t="str">
        <f>'Standard Estimator - SALES'!Q84</f>
        <v/>
      </c>
      <c r="H85" s="16" t="str">
        <f>'Standard Estimator - SALES'!E84</f>
        <v>NO</v>
      </c>
    </row>
    <row r="86" ht="15.75" customHeight="1">
      <c r="A86" s="23" t="str">
        <f>'Standard Estimator - SALES'!B85</f>
        <v>Dev</v>
      </c>
      <c r="B86" s="23" t="str">
        <f>'Standard Estimator - SALES'!C85</f>
        <v>Components</v>
      </c>
      <c r="C86" s="23" t="str">
        <f>'Standard Estimator - SALES'!D85</f>
        <v>CTA banner</v>
      </c>
      <c r="D86" s="23" t="str">
        <f>'Standard Estimator - SALES'!G85</f>
        <v/>
      </c>
      <c r="E86" s="23" t="str">
        <f>if('Standard Estimator - SALES'!F85="VARIABLE", 'Standard Estimator - SALES'!H85, "")</f>
        <v/>
      </c>
      <c r="F86" s="23" t="str">
        <f>'Standard Estimator - SALES'!Q85</f>
        <v/>
      </c>
      <c r="H86" s="16" t="str">
        <f>'Standard Estimator - SALES'!E85</f>
        <v>NO</v>
      </c>
    </row>
    <row r="87" ht="15.75" customHeight="1">
      <c r="A87" s="23" t="str">
        <f>'Standard Estimator - SALES'!B86</f>
        <v>Dev</v>
      </c>
      <c r="B87" s="23" t="str">
        <f>'Standard Estimator - SALES'!C86</f>
        <v>Components</v>
      </c>
      <c r="C87" s="23" t="str">
        <f>'Standard Estimator - SALES'!D86</f>
        <v>Modal component</v>
      </c>
      <c r="D87" s="23" t="str">
        <f>'Standard Estimator - SALES'!G86</f>
        <v/>
      </c>
      <c r="E87" s="23" t="str">
        <f>if('Standard Estimator - SALES'!F86="VARIABLE", 'Standard Estimator - SALES'!H86, "")</f>
        <v/>
      </c>
      <c r="F87" s="23" t="str">
        <f>'Standard Estimator - SALES'!Q86</f>
        <v/>
      </c>
      <c r="H87" s="16" t="str">
        <f>'Standard Estimator - SALES'!E86</f>
        <v>NO</v>
      </c>
    </row>
    <row r="88" ht="15.75" customHeight="1">
      <c r="A88" s="23" t="str">
        <f>'Standard Estimator - SALES'!B87</f>
        <v>Dev</v>
      </c>
      <c r="B88" s="23" t="str">
        <f>'Standard Estimator - SALES'!C87</f>
        <v>Components</v>
      </c>
      <c r="C88" s="23" t="str">
        <f>'Standard Estimator - SALES'!D87</f>
        <v>Form component – contact/demo</v>
      </c>
      <c r="D88" s="23" t="str">
        <f>'Standard Estimator - SALES'!G87</f>
        <v/>
      </c>
      <c r="E88" s="23" t="str">
        <f>if('Standard Estimator - SALES'!F87="VARIABLE", 'Standard Estimator - SALES'!H87, "")</f>
        <v/>
      </c>
      <c r="F88" s="23" t="str">
        <f>'Standard Estimator - SALES'!Q87</f>
        <v/>
      </c>
      <c r="H88" s="16" t="str">
        <f>'Standard Estimator - SALES'!E87</f>
        <v>NO</v>
      </c>
    </row>
    <row r="89" ht="15.75" customHeight="1">
      <c r="A89" s="23" t="str">
        <f>'Standard Estimator - SALES'!B88</f>
        <v>Dev</v>
      </c>
      <c r="B89" s="23" t="str">
        <f>'Standard Estimator - SALES'!C88</f>
        <v>Components</v>
      </c>
      <c r="C89" s="23" t="str">
        <f>'Standard Estimator - SALES'!D88</f>
        <v>Tabs component</v>
      </c>
      <c r="D89" s="23" t="str">
        <f>'Standard Estimator - SALES'!G88</f>
        <v/>
      </c>
      <c r="E89" s="23" t="str">
        <f>if('Standard Estimator - SALES'!F88="VARIABLE", 'Standard Estimator - SALES'!H88, "")</f>
        <v/>
      </c>
      <c r="F89" s="23" t="str">
        <f>'Standard Estimator - SALES'!Q88</f>
        <v/>
      </c>
      <c r="H89" s="16" t="str">
        <f>'Standard Estimator - SALES'!E88</f>
        <v>NO</v>
      </c>
    </row>
    <row r="90" ht="15.75" customHeight="1">
      <c r="A90" s="23" t="str">
        <f>'Standard Estimator - SALES'!B89</f>
        <v>Dev</v>
      </c>
      <c r="B90" s="23" t="str">
        <f>'Standard Estimator - SALES'!C89</f>
        <v>Components</v>
      </c>
      <c r="C90" s="23" t="str">
        <f>'Standard Estimator - SALES'!D89</f>
        <v>Table component – responsive</v>
      </c>
      <c r="D90" s="23" t="str">
        <f>'Standard Estimator - SALES'!G89</f>
        <v/>
      </c>
      <c r="E90" s="23" t="str">
        <f>if('Standard Estimator - SALES'!F89="VARIABLE", 'Standard Estimator - SALES'!H89, "")</f>
        <v/>
      </c>
      <c r="F90" s="23" t="str">
        <f>'Standard Estimator - SALES'!Q89</f>
        <v/>
      </c>
      <c r="H90" s="16" t="str">
        <f>'Standard Estimator - SALES'!E89</f>
        <v>NO</v>
      </c>
    </row>
    <row r="91" ht="15.75" customHeight="1">
      <c r="A91" s="23" t="str">
        <f>'Standard Estimator - SALES'!B90</f>
        <v>Dev</v>
      </c>
      <c r="B91" s="23" t="str">
        <f>'Standard Estimator - SALES'!C90</f>
        <v>Components</v>
      </c>
      <c r="C91" s="23" t="str">
        <f>'Standard Estimator - SALES'!D90</f>
        <v>Video embed component</v>
      </c>
      <c r="D91" s="23" t="str">
        <f>'Standard Estimator - SALES'!G90</f>
        <v/>
      </c>
      <c r="E91" s="23" t="str">
        <f>if('Standard Estimator - SALES'!F90="VARIABLE", 'Standard Estimator - SALES'!H90, "")</f>
        <v/>
      </c>
      <c r="F91" s="23" t="str">
        <f>'Standard Estimator - SALES'!Q90</f>
        <v/>
      </c>
      <c r="H91" s="16" t="str">
        <f>'Standard Estimator - SALES'!E90</f>
        <v>NO</v>
      </c>
    </row>
    <row r="92" ht="15.75" customHeight="1">
      <c r="A92" s="23" t="str">
        <f>'Standard Estimator - SALES'!B91</f>
        <v>Dev</v>
      </c>
      <c r="B92" s="23" t="str">
        <f>'Standard Estimator - SALES'!C91</f>
        <v>Components</v>
      </c>
      <c r="C92" s="23" t="str">
        <f>'Standard Estimator - SALES'!D91</f>
        <v>Timeline component</v>
      </c>
      <c r="D92" s="23" t="str">
        <f>'Standard Estimator - SALES'!G91</f>
        <v/>
      </c>
      <c r="E92" s="23" t="str">
        <f>if('Standard Estimator - SALES'!F91="VARIABLE", 'Standard Estimator - SALES'!H91, "")</f>
        <v/>
      </c>
      <c r="F92" s="23" t="str">
        <f>'Standard Estimator - SALES'!Q91</f>
        <v/>
      </c>
      <c r="H92" s="16" t="str">
        <f>'Standard Estimator - SALES'!E91</f>
        <v>NO</v>
      </c>
    </row>
    <row r="93" ht="15.75" customHeight="1">
      <c r="A93" s="23" t="str">
        <f>'Standard Estimator - SALES'!B92</f>
        <v>Dev</v>
      </c>
      <c r="B93" s="23" t="str">
        <f>'Standard Estimator - SALES'!C92</f>
        <v>Components</v>
      </c>
      <c r="C93" s="23" t="str">
        <f>'Standard Estimator - SALES'!D92</f>
        <v>Comparison component</v>
      </c>
      <c r="D93" s="23" t="str">
        <f>'Standard Estimator - SALES'!G92</f>
        <v/>
      </c>
      <c r="E93" s="23" t="str">
        <f>if('Standard Estimator - SALES'!F92="VARIABLE", 'Standard Estimator - SALES'!H92, "")</f>
        <v/>
      </c>
      <c r="F93" s="23" t="str">
        <f>'Standard Estimator - SALES'!Q92</f>
        <v/>
      </c>
      <c r="H93" s="16" t="str">
        <f>'Standard Estimator - SALES'!E92</f>
        <v>NO</v>
      </c>
    </row>
    <row r="94" ht="15.75" customHeight="1">
      <c r="A94" s="23" t="str">
        <f>'Standard Estimator - SALES'!B93</f>
        <v>Dev</v>
      </c>
      <c r="B94" s="23" t="str">
        <f>'Standard Estimator - SALES'!C93</f>
        <v>Components</v>
      </c>
      <c r="C94" s="23" t="str">
        <f>'Standard Estimator - SALES'!D93</f>
        <v>Breadcrumbs</v>
      </c>
      <c r="D94" s="23" t="str">
        <f>'Standard Estimator - SALES'!G93</f>
        <v/>
      </c>
      <c r="E94" s="23" t="str">
        <f>if('Standard Estimator - SALES'!F93="VARIABLE", 'Standard Estimator - SALES'!H93, "")</f>
        <v/>
      </c>
      <c r="F94" s="23" t="str">
        <f>'Standard Estimator - SALES'!Q93</f>
        <v/>
      </c>
      <c r="H94" s="16" t="str">
        <f>'Standard Estimator - SALES'!E93</f>
        <v>NO</v>
      </c>
    </row>
    <row r="95" ht="15.75" customHeight="1">
      <c r="A95" s="23" t="str">
        <f>'Standard Estimator - SALES'!B94</f>
        <v>Dev</v>
      </c>
      <c r="B95" s="23" t="str">
        <f>'Standard Estimator - SALES'!C94</f>
        <v>Pages</v>
      </c>
      <c r="C95" s="23" t="str">
        <f>'Standard Estimator - SALES'!D94</f>
        <v>Homepage build</v>
      </c>
      <c r="D95" s="23" t="str">
        <f>'Standard Estimator - SALES'!G94</f>
        <v/>
      </c>
      <c r="E95" s="23" t="str">
        <f>if('Standard Estimator - SALES'!F94="VARIABLE", 'Standard Estimator - SALES'!H94, "")</f>
        <v/>
      </c>
      <c r="F95" s="23" t="str">
        <f>'Standard Estimator - SALES'!Q94</f>
        <v/>
      </c>
      <c r="H95" s="16" t="str">
        <f>'Standard Estimator - SALES'!E94</f>
        <v>NO</v>
      </c>
    </row>
    <row r="96" ht="15.75" customHeight="1">
      <c r="A96" s="23" t="str">
        <f>'Standard Estimator - SALES'!B95</f>
        <v>Dev</v>
      </c>
      <c r="B96" s="23" t="str">
        <f>'Standard Estimator - SALES'!C95</f>
        <v>Pages</v>
      </c>
      <c r="C96" s="23" t="str">
        <f>'Standard Estimator - SALES'!D95</f>
        <v>Pillar / solution page build</v>
      </c>
      <c r="D96" s="23" t="str">
        <f>'Standard Estimator - SALES'!G95</f>
        <v/>
      </c>
      <c r="E96" s="23" t="str">
        <f>if('Standard Estimator - SALES'!F95="VARIABLE", 'Standard Estimator - SALES'!H95, "")</f>
        <v/>
      </c>
      <c r="F96" s="23" t="str">
        <f>'Standard Estimator - SALES'!Q95</f>
        <v/>
      </c>
      <c r="H96" s="16" t="str">
        <f>'Standard Estimator - SALES'!E95</f>
        <v>NO</v>
      </c>
    </row>
    <row r="97" ht="15.75" customHeight="1">
      <c r="A97" s="23" t="str">
        <f>'Standard Estimator - SALES'!B96</f>
        <v>Dev</v>
      </c>
      <c r="B97" s="23" t="str">
        <f>'Standard Estimator - SALES'!C96</f>
        <v>Pages</v>
      </c>
      <c r="C97" s="23" t="str">
        <f>'Standard Estimator - SALES'!D96</f>
        <v>Use case page build</v>
      </c>
      <c r="D97" s="23" t="str">
        <f>'Standard Estimator - SALES'!G96</f>
        <v/>
      </c>
      <c r="E97" s="23" t="str">
        <f>if('Standard Estimator - SALES'!F96="VARIABLE", 'Standard Estimator - SALES'!H96, "")</f>
        <v/>
      </c>
      <c r="F97" s="23" t="str">
        <f>'Standard Estimator - SALES'!Q96</f>
        <v/>
      </c>
      <c r="H97" s="16" t="str">
        <f>'Standard Estimator - SALES'!E96</f>
        <v>NO</v>
      </c>
    </row>
    <row r="98" ht="15.75" customHeight="1">
      <c r="A98" s="23" t="str">
        <f>'Standard Estimator - SALES'!B97</f>
        <v>Dev</v>
      </c>
      <c r="B98" s="23" t="str">
        <f>'Standard Estimator - SALES'!C97</f>
        <v>Pages</v>
      </c>
      <c r="C98" s="23" t="str">
        <f>'Standard Estimator - SALES'!D97</f>
        <v>Industry page build</v>
      </c>
      <c r="D98" s="23" t="str">
        <f>'Standard Estimator - SALES'!G97</f>
        <v/>
      </c>
      <c r="E98" s="23" t="str">
        <f>if('Standard Estimator - SALES'!F97="VARIABLE", 'Standard Estimator - SALES'!H97, "")</f>
        <v/>
      </c>
      <c r="F98" s="23" t="str">
        <f>'Standard Estimator - SALES'!Q97</f>
        <v/>
      </c>
      <c r="H98" s="16" t="str">
        <f>'Standard Estimator - SALES'!E97</f>
        <v>NO</v>
      </c>
    </row>
    <row r="99" ht="15.75" customHeight="1">
      <c r="A99" s="23" t="str">
        <f>'Standard Estimator - SALES'!B98</f>
        <v>Dev</v>
      </c>
      <c r="B99" s="23" t="str">
        <f>'Standard Estimator - SALES'!C98</f>
        <v>Pages</v>
      </c>
      <c r="C99" s="23" t="str">
        <f>'Standard Estimator - SALES'!D98</f>
        <v>Product overview page build</v>
      </c>
      <c r="D99" s="23" t="str">
        <f>'Standard Estimator - SALES'!G98</f>
        <v/>
      </c>
      <c r="E99" s="23" t="str">
        <f>if('Standard Estimator - SALES'!F98="VARIABLE", 'Standard Estimator - SALES'!H98, "")</f>
        <v/>
      </c>
      <c r="F99" s="23" t="str">
        <f>'Standard Estimator - SALES'!Q98</f>
        <v/>
      </c>
      <c r="H99" s="16" t="str">
        <f>'Standard Estimator - SALES'!E98</f>
        <v>NO</v>
      </c>
    </row>
    <row r="100" ht="15.75" customHeight="1">
      <c r="A100" s="23" t="str">
        <f>'Standard Estimator - SALES'!B99</f>
        <v>Dev</v>
      </c>
      <c r="B100" s="23" t="str">
        <f>'Standard Estimator - SALES'!C99</f>
        <v>Pages</v>
      </c>
      <c r="C100" s="23" t="str">
        <f>'Standard Estimator - SALES'!D99</f>
        <v>Product detail page build</v>
      </c>
      <c r="D100" s="23" t="str">
        <f>'Standard Estimator - SALES'!G99</f>
        <v/>
      </c>
      <c r="E100" s="23" t="str">
        <f>if('Standard Estimator - SALES'!F99="VARIABLE", 'Standard Estimator - SALES'!H99, "")</f>
        <v/>
      </c>
      <c r="F100" s="23" t="str">
        <f>'Standard Estimator - SALES'!Q99</f>
        <v/>
      </c>
      <c r="H100" s="16" t="str">
        <f>'Standard Estimator - SALES'!E99</f>
        <v>NO</v>
      </c>
    </row>
    <row r="101" ht="15.75" customHeight="1">
      <c r="A101" s="23" t="str">
        <f>'Standard Estimator - SALES'!B100</f>
        <v>Dev</v>
      </c>
      <c r="B101" s="23" t="str">
        <f>'Standard Estimator - SALES'!C100</f>
        <v>Pages</v>
      </c>
      <c r="C101" s="23" t="str">
        <f>'Standard Estimator - SALES'!D100</f>
        <v>Integrations listing page build</v>
      </c>
      <c r="D101" s="23" t="str">
        <f>'Standard Estimator - SALES'!G100</f>
        <v/>
      </c>
      <c r="E101" s="23" t="str">
        <f>if('Standard Estimator - SALES'!F100="VARIABLE", 'Standard Estimator - SALES'!H100, "")</f>
        <v/>
      </c>
      <c r="F101" s="23" t="str">
        <f>'Standard Estimator - SALES'!Q100</f>
        <v/>
      </c>
      <c r="H101" s="16" t="str">
        <f>'Standard Estimator - SALES'!E100</f>
        <v>NO</v>
      </c>
    </row>
    <row r="102" ht="15.75" customHeight="1">
      <c r="A102" s="23" t="str">
        <f>'Standard Estimator - SALES'!B101</f>
        <v>Dev</v>
      </c>
      <c r="B102" s="23" t="str">
        <f>'Standard Estimator - SALES'!C101</f>
        <v>Pages</v>
      </c>
      <c r="C102" s="23" t="str">
        <f>'Standard Estimator - SALES'!D101</f>
        <v>Integration detail template build</v>
      </c>
      <c r="D102" s="23" t="str">
        <f>'Standard Estimator - SALES'!G101</f>
        <v/>
      </c>
      <c r="E102" s="23" t="str">
        <f>if('Standard Estimator - SALES'!F101="VARIABLE", 'Standard Estimator - SALES'!H101, "")</f>
        <v/>
      </c>
      <c r="F102" s="23" t="str">
        <f>'Standard Estimator - SALES'!Q101</f>
        <v/>
      </c>
      <c r="H102" s="16" t="str">
        <f>'Standard Estimator - SALES'!E101</f>
        <v>NO</v>
      </c>
    </row>
    <row r="103" ht="15.75" customHeight="1">
      <c r="A103" s="23" t="str">
        <f>'Standard Estimator - SALES'!B102</f>
        <v>Dev</v>
      </c>
      <c r="B103" s="23" t="str">
        <f>'Standard Estimator - SALES'!C102</f>
        <v>Pages</v>
      </c>
      <c r="C103" s="23" t="str">
        <f>'Standard Estimator - SALES'!D102</f>
        <v>Resource hub build</v>
      </c>
      <c r="D103" s="23" t="str">
        <f>'Standard Estimator - SALES'!G102</f>
        <v/>
      </c>
      <c r="E103" s="23" t="str">
        <f>if('Standard Estimator - SALES'!F102="VARIABLE", 'Standard Estimator - SALES'!H102, "")</f>
        <v/>
      </c>
      <c r="F103" s="23" t="str">
        <f>'Standard Estimator - SALES'!Q102</f>
        <v/>
      </c>
      <c r="H103" s="16" t="str">
        <f>'Standard Estimator - SALES'!E102</f>
        <v>NO</v>
      </c>
    </row>
    <row r="104" ht="15.75" customHeight="1">
      <c r="A104" s="23" t="str">
        <f>'Standard Estimator - SALES'!B103</f>
        <v>Dev</v>
      </c>
      <c r="B104" s="23" t="str">
        <f>'Standard Estimator - SALES'!C103</f>
        <v>Pages</v>
      </c>
      <c r="C104" s="23" t="str">
        <f>'Standard Estimator - SALES'!D103</f>
        <v>Blog listing template build</v>
      </c>
      <c r="D104" s="23" t="str">
        <f>'Standard Estimator - SALES'!G103</f>
        <v/>
      </c>
      <c r="E104" s="23" t="str">
        <f>if('Standard Estimator - SALES'!F103="VARIABLE", 'Standard Estimator - SALES'!H103, "")</f>
        <v/>
      </c>
      <c r="F104" s="23" t="str">
        <f>'Standard Estimator - SALES'!Q103</f>
        <v/>
      </c>
      <c r="H104" s="16" t="str">
        <f>'Standard Estimator - SALES'!E103</f>
        <v>NO</v>
      </c>
    </row>
    <row r="105" ht="15.75" customHeight="1">
      <c r="A105" s="23" t="str">
        <f>'Standard Estimator - SALES'!B104</f>
        <v>Dev</v>
      </c>
      <c r="B105" s="23" t="str">
        <f>'Standard Estimator - SALES'!C104</f>
        <v>Pages</v>
      </c>
      <c r="C105" s="23" t="str">
        <f>'Standard Estimator - SALES'!D104</f>
        <v>Blog article template build</v>
      </c>
      <c r="D105" s="23" t="str">
        <f>'Standard Estimator - SALES'!G104</f>
        <v/>
      </c>
      <c r="E105" s="23" t="str">
        <f>if('Standard Estimator - SALES'!F104="VARIABLE", 'Standard Estimator - SALES'!H104, "")</f>
        <v/>
      </c>
      <c r="F105" s="23" t="str">
        <f>'Standard Estimator - SALES'!Q104</f>
        <v/>
      </c>
      <c r="H105" s="16" t="str">
        <f>'Standard Estimator - SALES'!E104</f>
        <v>NO</v>
      </c>
    </row>
    <row r="106" ht="15.75" customHeight="1">
      <c r="A106" s="23" t="str">
        <f>'Standard Estimator - SALES'!B105</f>
        <v>Dev</v>
      </c>
      <c r="B106" s="23" t="str">
        <f>'Standard Estimator - SALES'!C105</f>
        <v>Pages</v>
      </c>
      <c r="C106" s="23" t="str">
        <f>'Standard Estimator - SALES'!D105</f>
        <v>Case study CMS template build</v>
      </c>
      <c r="D106" s="23" t="str">
        <f>'Standard Estimator - SALES'!G105</f>
        <v/>
      </c>
      <c r="E106" s="23" t="str">
        <f>if('Standard Estimator - SALES'!F105="VARIABLE", 'Standard Estimator - SALES'!H105, "")</f>
        <v/>
      </c>
      <c r="F106" s="23" t="str">
        <f>'Standard Estimator - SALES'!Q105</f>
        <v/>
      </c>
      <c r="H106" s="16" t="str">
        <f>'Standard Estimator - SALES'!E105</f>
        <v>NO</v>
      </c>
    </row>
    <row r="107" ht="15.75" customHeight="1">
      <c r="A107" s="23" t="str">
        <f>'Standard Estimator - SALES'!B106</f>
        <v>Dev</v>
      </c>
      <c r="B107" s="23" t="str">
        <f>'Standard Estimator - SALES'!C106</f>
        <v>Pages</v>
      </c>
      <c r="C107" s="23" t="str">
        <f>'Standard Estimator - SALES'!D106</f>
        <v>About page build</v>
      </c>
      <c r="D107" s="23" t="str">
        <f>'Standard Estimator - SALES'!G106</f>
        <v/>
      </c>
      <c r="E107" s="23" t="str">
        <f>if('Standard Estimator - SALES'!F106="VARIABLE", 'Standard Estimator - SALES'!H106, "")</f>
        <v/>
      </c>
      <c r="F107" s="23" t="str">
        <f>'Standard Estimator - SALES'!Q106</f>
        <v/>
      </c>
      <c r="H107" s="16" t="str">
        <f>'Standard Estimator - SALES'!E106</f>
        <v>NO</v>
      </c>
    </row>
    <row r="108" ht="15.75" customHeight="1">
      <c r="A108" s="23" t="str">
        <f>'Standard Estimator - SALES'!B107</f>
        <v>Dev</v>
      </c>
      <c r="B108" s="23" t="str">
        <f>'Standard Estimator - SALES'!C107</f>
        <v>Pages</v>
      </c>
      <c r="C108" s="23" t="str">
        <f>'Standard Estimator - SALES'!D107</f>
        <v>Contact/Demo page build</v>
      </c>
      <c r="D108" s="23" t="str">
        <f>'Standard Estimator - SALES'!G107</f>
        <v/>
      </c>
      <c r="E108" s="23" t="str">
        <f>if('Standard Estimator - SALES'!F107="VARIABLE", 'Standard Estimator - SALES'!H107, "")</f>
        <v/>
      </c>
      <c r="F108" s="23" t="str">
        <f>'Standard Estimator - SALES'!Q107</f>
        <v/>
      </c>
      <c r="H108" s="16" t="str">
        <f>'Standard Estimator - SALES'!E107</f>
        <v>NO</v>
      </c>
    </row>
    <row r="109" ht="15.75" customHeight="1">
      <c r="A109" s="23" t="str">
        <f>'Standard Estimator - SALES'!B108</f>
        <v>Dev</v>
      </c>
      <c r="B109" s="23" t="str">
        <f>'Standard Estimator - SALES'!C108</f>
        <v>Pages</v>
      </c>
      <c r="C109" s="23" t="str">
        <f>'Standard Estimator - SALES'!D108</f>
        <v>Pricing page build</v>
      </c>
      <c r="D109" s="23" t="str">
        <f>'Standard Estimator - SALES'!G108</f>
        <v/>
      </c>
      <c r="E109" s="23" t="str">
        <f>if('Standard Estimator - SALES'!F108="VARIABLE", 'Standard Estimator - SALES'!H108, "")</f>
        <v/>
      </c>
      <c r="F109" s="23" t="str">
        <f>'Standard Estimator - SALES'!Q108</f>
        <v/>
      </c>
      <c r="H109" s="16" t="str">
        <f>'Standard Estimator - SALES'!E108</f>
        <v>NO</v>
      </c>
    </row>
    <row r="110" ht="15.75" customHeight="1">
      <c r="A110" s="23" t="str">
        <f>'Standard Estimator - SALES'!B109</f>
        <v>Dev</v>
      </c>
      <c r="B110" s="23" t="str">
        <f>'Standard Estimator - SALES'!C109</f>
        <v>Pages</v>
      </c>
      <c r="C110" s="23" t="str">
        <f>'Standard Estimator - SALES'!D109</f>
        <v>Security/Compliance page build</v>
      </c>
      <c r="D110" s="23" t="str">
        <f>'Standard Estimator - SALES'!G109</f>
        <v/>
      </c>
      <c r="E110" s="23" t="str">
        <f>if('Standard Estimator - SALES'!F109="VARIABLE", 'Standard Estimator - SALES'!H109, "")</f>
        <v/>
      </c>
      <c r="F110" s="23" t="str">
        <f>'Standard Estimator - SALES'!Q109</f>
        <v/>
      </c>
      <c r="H110" s="16" t="str">
        <f>'Standard Estimator - SALES'!E109</f>
        <v>NO</v>
      </c>
    </row>
    <row r="111" ht="15.75" customHeight="1">
      <c r="A111" s="23" t="str">
        <f>'Standard Estimator - SALES'!B110</f>
        <v>Dev</v>
      </c>
      <c r="B111" s="23" t="str">
        <f>'Standard Estimator - SALES'!C110</f>
        <v>Pages</v>
      </c>
      <c r="C111" s="23" t="str">
        <f>'Standard Estimator - SALES'!D110</f>
        <v>Careers listing build</v>
      </c>
      <c r="D111" s="23" t="str">
        <f>'Standard Estimator - SALES'!G110</f>
        <v/>
      </c>
      <c r="E111" s="23" t="str">
        <f>if('Standard Estimator - SALES'!F110="VARIABLE", 'Standard Estimator - SALES'!H110, "")</f>
        <v/>
      </c>
      <c r="F111" s="23" t="str">
        <f>'Standard Estimator - SALES'!Q110</f>
        <v/>
      </c>
      <c r="H111" s="16" t="str">
        <f>'Standard Estimator - SALES'!E110</f>
        <v>NO</v>
      </c>
    </row>
    <row r="112" ht="15.75" customHeight="1">
      <c r="A112" s="23" t="str">
        <f>'Standard Estimator - SALES'!B111</f>
        <v>Dev</v>
      </c>
      <c r="B112" s="23" t="str">
        <f>'Standard Estimator - SALES'!C111</f>
        <v>Pages</v>
      </c>
      <c r="C112" s="23" t="str">
        <f>'Standard Estimator - SALES'!D111</f>
        <v>Job detail template build</v>
      </c>
      <c r="D112" s="23" t="str">
        <f>'Standard Estimator - SALES'!G111</f>
        <v/>
      </c>
      <c r="E112" s="23" t="str">
        <f>if('Standard Estimator - SALES'!F111="VARIABLE", 'Standard Estimator - SALES'!H111, "")</f>
        <v/>
      </c>
      <c r="F112" s="23" t="str">
        <f>'Standard Estimator - SALES'!Q111</f>
        <v/>
      </c>
      <c r="H112" s="16" t="str">
        <f>'Standard Estimator - SALES'!E111</f>
        <v>NO</v>
      </c>
    </row>
    <row r="113" ht="15.75" customHeight="1">
      <c r="A113" s="23" t="str">
        <f>'Standard Estimator - SALES'!B112</f>
        <v>Dev</v>
      </c>
      <c r="B113" s="23" t="str">
        <f>'Standard Estimator - SALES'!C112</f>
        <v>Pages</v>
      </c>
      <c r="C113" s="23" t="str">
        <f>'Standard Estimator - SALES'!D112</f>
        <v>Legal template build</v>
      </c>
      <c r="D113" s="23" t="str">
        <f>'Standard Estimator - SALES'!G112</f>
        <v/>
      </c>
      <c r="E113" s="23" t="str">
        <f>if('Standard Estimator - SALES'!F112="VARIABLE", 'Standard Estimator - SALES'!H112, "")</f>
        <v/>
      </c>
      <c r="F113" s="23" t="str">
        <f>'Standard Estimator - SALES'!Q112</f>
        <v/>
      </c>
      <c r="H113" s="16" t="str">
        <f>'Standard Estimator - SALES'!E112</f>
        <v>NO</v>
      </c>
    </row>
    <row r="114" ht="15.75" customHeight="1">
      <c r="A114" s="23" t="str">
        <f>'Standard Estimator - SALES'!B113</f>
        <v>Dev</v>
      </c>
      <c r="B114" s="23" t="str">
        <f>'Standard Estimator - SALES'!C113</f>
        <v>Pages</v>
      </c>
      <c r="C114" s="23" t="str">
        <f>'Standard Estimator - SALES'!D113</f>
        <v>404 page build</v>
      </c>
      <c r="D114" s="23" t="str">
        <f>'Standard Estimator - SALES'!G113</f>
        <v/>
      </c>
      <c r="E114" s="23" t="str">
        <f>if('Standard Estimator - SALES'!F113="VARIABLE", 'Standard Estimator - SALES'!H113, "")</f>
        <v/>
      </c>
      <c r="F114" s="23" t="str">
        <f>'Standard Estimator - SALES'!Q113</f>
        <v/>
      </c>
      <c r="H114" s="16" t="str">
        <f>'Standard Estimator - SALES'!E113</f>
        <v>NO</v>
      </c>
    </row>
    <row r="115" ht="15.75" customHeight="1">
      <c r="A115" s="23" t="str">
        <f>'Standard Estimator - SALES'!B114</f>
        <v>Dev</v>
      </c>
      <c r="B115" s="23" t="str">
        <f>'Standard Estimator - SALES'!C114</f>
        <v>CMS</v>
      </c>
      <c r="C115" s="23" t="str">
        <f>'Standard Estimator - SALES'!D114</f>
        <v>CMS architecture planning + mapping</v>
      </c>
      <c r="D115" s="23" t="str">
        <f>'Standard Estimator - SALES'!G114</f>
        <v/>
      </c>
      <c r="E115" s="23" t="str">
        <f>if('Standard Estimator - SALES'!F114="VARIABLE", 'Standard Estimator - SALES'!H114, "")</f>
        <v/>
      </c>
      <c r="F115" s="23" t="str">
        <f>'Standard Estimator - SALES'!Q114</f>
        <v/>
      </c>
      <c r="H115" s="16" t="str">
        <f>'Standard Estimator - SALES'!E114</f>
        <v>NO</v>
      </c>
    </row>
    <row r="116" ht="15.75" customHeight="1">
      <c r="A116" s="23" t="str">
        <f>'Standard Estimator - SALES'!B115</f>
        <v>Dev</v>
      </c>
      <c r="B116" s="23" t="str">
        <f>'Standard Estimator - SALES'!C115</f>
        <v>CMS</v>
      </c>
      <c r="C116" s="23" t="str">
        <f>'Standard Estimator - SALES'!D115</f>
        <v>Create CMS collection (per collection)</v>
      </c>
      <c r="D116" s="23" t="str">
        <f>'Standard Estimator - SALES'!G115</f>
        <v>Number of CMS collections:</v>
      </c>
      <c r="E116" s="23" t="str">
        <f>if('Standard Estimator - SALES'!F115="VARIABLE", 'Standard Estimator - SALES'!H115, "")</f>
        <v/>
      </c>
      <c r="F116" s="23" t="str">
        <f>'Standard Estimator - SALES'!Q115</f>
        <v/>
      </c>
      <c r="H116" s="16" t="str">
        <f>'Standard Estimator - SALES'!E115</f>
        <v>NO</v>
      </c>
    </row>
    <row r="117" ht="15.75" customHeight="1">
      <c r="A117" s="23" t="str">
        <f>'Standard Estimator - SALES'!B116</f>
        <v>Dev</v>
      </c>
      <c r="B117" s="23" t="str">
        <f>'Standard Estimator - SALES'!C116</f>
        <v>CMS</v>
      </c>
      <c r="C117" s="23" t="str">
        <f>'Standard Estimator - SALES'!D116</f>
        <v>CMS field mapping (per collection)</v>
      </c>
      <c r="D117" s="23" t="str">
        <f>'Standard Estimator - SALES'!G116</f>
        <v>Number of CMS collections:</v>
      </c>
      <c r="E117" s="23" t="str">
        <f>if('Standard Estimator - SALES'!F116="VARIABLE", 'Standard Estimator - SALES'!H116, "")</f>
        <v/>
      </c>
      <c r="F117" s="23" t="str">
        <f>'Standard Estimator - SALES'!Q116</f>
        <v/>
      </c>
      <c r="H117" s="16" t="str">
        <f>'Standard Estimator - SALES'!E116</f>
        <v>NO</v>
      </c>
    </row>
    <row r="118" ht="15.75" customHeight="1">
      <c r="A118" s="23" t="str">
        <f>'Standard Estimator - SALES'!B117</f>
        <v>Dev</v>
      </c>
      <c r="B118" s="23" t="str">
        <f>'Standard Estimator - SALES'!C117</f>
        <v>CMS</v>
      </c>
      <c r="C118" s="23" t="str">
        <f>'Standard Estimator - SALES'!D117</f>
        <v>Build CMS template (per template)</v>
      </c>
      <c r="D118" s="23" t="str">
        <f>'Standard Estimator - SALES'!G117</f>
        <v>Number of CMS templates:</v>
      </c>
      <c r="E118" s="23" t="str">
        <f>if('Standard Estimator - SALES'!F117="VARIABLE", 'Standard Estimator - SALES'!H117, "")</f>
        <v/>
      </c>
      <c r="F118" s="23" t="str">
        <f>'Standard Estimator - SALES'!Q117</f>
        <v/>
      </c>
      <c r="H118" s="16" t="str">
        <f>'Standard Estimator - SALES'!E117</f>
        <v>NO</v>
      </c>
    </row>
    <row r="119" ht="15.75" customHeight="1">
      <c r="A119" s="23" t="str">
        <f>'Standard Estimator - SALES'!B118</f>
        <v>Dev</v>
      </c>
      <c r="B119" s="23" t="str">
        <f>'Standard Estimator - SALES'!C118</f>
        <v>CMS</v>
      </c>
      <c r="C119" s="23" t="str">
        <f>'Standard Estimator - SALES'!D118</f>
        <v>CMS filters/search (basic)</v>
      </c>
      <c r="D119" s="23" t="str">
        <f>'Standard Estimator - SALES'!G118</f>
        <v/>
      </c>
      <c r="E119" s="23" t="str">
        <f>if('Standard Estimator - SALES'!F118="VARIABLE", 'Standard Estimator - SALES'!H118, "")</f>
        <v/>
      </c>
      <c r="F119" s="23" t="str">
        <f>'Standard Estimator - SALES'!Q118</f>
        <v/>
      </c>
      <c r="H119" s="16" t="str">
        <f>'Standard Estimator - SALES'!E118</f>
        <v>NO</v>
      </c>
    </row>
    <row r="120" ht="15.75" customHeight="1">
      <c r="A120" s="23" t="str">
        <f>'Standard Estimator - SALES'!B119</f>
        <v>Dev</v>
      </c>
      <c r="B120" s="23" t="str">
        <f>'Standard Estimator - SALES'!C119</f>
        <v>CMS</v>
      </c>
      <c r="C120" s="23" t="str">
        <f>'Standard Estimator - SALES'!D119</f>
        <v>CMS pagination (native)</v>
      </c>
      <c r="D120" s="23" t="str">
        <f>'Standard Estimator - SALES'!G119</f>
        <v/>
      </c>
      <c r="E120" s="23" t="str">
        <f>if('Standard Estimator - SALES'!F119="VARIABLE", 'Standard Estimator - SALES'!H119, "")</f>
        <v/>
      </c>
      <c r="F120" s="23" t="str">
        <f>'Standard Estimator - SALES'!Q119</f>
        <v/>
      </c>
      <c r="H120" s="16" t="str">
        <f>'Standard Estimator - SALES'!E119</f>
        <v>NO</v>
      </c>
    </row>
    <row r="121" ht="15.75" customHeight="1">
      <c r="A121" s="23" t="str">
        <f>'Standard Estimator - SALES'!B120</f>
        <v>Dev</v>
      </c>
      <c r="B121" s="23" t="str">
        <f>'Standard Estimator - SALES'!C120</f>
        <v>Migration</v>
      </c>
      <c r="C121" s="23" t="str">
        <f>'Standard Estimator - SALES'!D120</f>
        <v>Content migration planning + export</v>
      </c>
      <c r="D121" s="23" t="str">
        <f>'Standard Estimator - SALES'!G120</f>
        <v/>
      </c>
      <c r="E121" s="23" t="str">
        <f>if('Standard Estimator - SALES'!F120="VARIABLE", 'Standard Estimator - SALES'!H120, "")</f>
        <v/>
      </c>
      <c r="F121" s="23" t="str">
        <f>'Standard Estimator - SALES'!Q120</f>
        <v/>
      </c>
      <c r="H121" s="16" t="str">
        <f>'Standard Estimator - SALES'!E120</f>
        <v>NO</v>
      </c>
    </row>
    <row r="122" ht="15.75" customHeight="1">
      <c r="A122" s="23" t="str">
        <f>'Standard Estimator - SALES'!B121</f>
        <v>Dev</v>
      </c>
      <c r="B122" s="23" t="str">
        <f>'Standard Estimator - SALES'!C121</f>
        <v>Migration</v>
      </c>
      <c r="C122" s="23" t="str">
        <f>'Standard Estimator - SALES'!D121</f>
        <v>Content migration (per 10 pages)</v>
      </c>
      <c r="D122" s="23" t="str">
        <f>'Standard Estimator - SALES'!G121</f>
        <v>Batches of 10 pages:</v>
      </c>
      <c r="E122" s="23" t="str">
        <f>if('Standard Estimator - SALES'!F121="VARIABLE", 'Standard Estimator - SALES'!H121, "")</f>
        <v/>
      </c>
      <c r="F122" s="23" t="str">
        <f>'Standard Estimator - SALES'!Q121</f>
        <v/>
      </c>
      <c r="H122" s="16" t="str">
        <f>'Standard Estimator - SALES'!E121</f>
        <v>NO</v>
      </c>
    </row>
    <row r="123" ht="15.75" customHeight="1">
      <c r="A123" s="23" t="str">
        <f>'Standard Estimator - SALES'!B122</f>
        <v>Dev</v>
      </c>
      <c r="B123" s="23" t="str">
        <f>'Standard Estimator - SALES'!C122</f>
        <v>Migration</v>
      </c>
      <c r="C123" s="23" t="str">
        <f>'Standard Estimator - SALES'!D122</f>
        <v>Content migration QA (per 10 pages)</v>
      </c>
      <c r="D123" s="23" t="str">
        <f>'Standard Estimator - SALES'!G122</f>
        <v>Batches of 10 pages:</v>
      </c>
      <c r="E123" s="23" t="str">
        <f>if('Standard Estimator - SALES'!F122="VARIABLE", 'Standard Estimator - SALES'!H122, "")</f>
        <v/>
      </c>
      <c r="F123" s="23" t="str">
        <f>'Standard Estimator - SALES'!Q122</f>
        <v/>
      </c>
      <c r="H123" s="16" t="str">
        <f>'Standard Estimator - SALES'!E122</f>
        <v>NO</v>
      </c>
    </row>
    <row r="124" ht="15.75" customHeight="1">
      <c r="A124" s="23" t="str">
        <f>'Standard Estimator - SALES'!B123</f>
        <v>Dev</v>
      </c>
      <c r="B124" s="23" t="str">
        <f>'Standard Estimator - SALES'!C123</f>
        <v>Migration</v>
      </c>
      <c r="C124" s="23" t="str">
        <f>'Standard Estimator - SALES'!D123</f>
        <v>301 redirect mapping (per 50 URLs)</v>
      </c>
      <c r="D124" s="23" t="str">
        <f>'Standard Estimator - SALES'!G123</f>
        <v>Batches of 50 URLs:</v>
      </c>
      <c r="E124" s="23" t="str">
        <f>if('Standard Estimator - SALES'!F123="VARIABLE", 'Standard Estimator - SALES'!H123, "")</f>
        <v/>
      </c>
      <c r="F124" s="23" t="str">
        <f>'Standard Estimator - SALES'!Q123</f>
        <v/>
      </c>
      <c r="H124" s="16" t="str">
        <f>'Standard Estimator - SALES'!E123</f>
        <v>NO</v>
      </c>
    </row>
    <row r="125" ht="15.75" customHeight="1">
      <c r="A125" s="23" t="str">
        <f>'Standard Estimator - SALES'!B124</f>
        <v>Dev</v>
      </c>
      <c r="B125" s="23" t="str">
        <f>'Standard Estimator - SALES'!C124</f>
        <v>Migration</v>
      </c>
      <c r="C125" s="23" t="str">
        <f>'Standard Estimator - SALES'!D124</f>
        <v>Redirect implementation + validation</v>
      </c>
      <c r="D125" s="23" t="str">
        <f>'Standard Estimator - SALES'!G124</f>
        <v/>
      </c>
      <c r="E125" s="23" t="str">
        <f>if('Standard Estimator - SALES'!F124="VARIABLE", 'Standard Estimator - SALES'!H124, "")</f>
        <v/>
      </c>
      <c r="F125" s="23" t="str">
        <f>'Standard Estimator - SALES'!Q124</f>
        <v/>
      </c>
      <c r="H125" s="16" t="str">
        <f>'Standard Estimator - SALES'!E124</f>
        <v>NO</v>
      </c>
    </row>
    <row r="126" ht="15.75" customHeight="1">
      <c r="A126" s="23" t="str">
        <f>'Standard Estimator - SALES'!B125</f>
        <v>Dev</v>
      </c>
      <c r="B126" s="23" t="str">
        <f>'Standard Estimator - SALES'!C125</f>
        <v>Animations</v>
      </c>
      <c r="C126" s="23" t="str">
        <f>'Standard Estimator - SALES'!D125</f>
        <v>Webflow interactions (simple per page)</v>
      </c>
      <c r="D126" s="23" t="str">
        <f>'Standard Estimator - SALES'!G125</f>
        <v>Number of webflow interactions per page (simple):</v>
      </c>
      <c r="E126" s="23" t="str">
        <f>if('Standard Estimator - SALES'!F125="VARIABLE", 'Standard Estimator - SALES'!H125, "")</f>
        <v/>
      </c>
      <c r="F126" s="23" t="str">
        <f>'Standard Estimator - SALES'!Q125</f>
        <v/>
      </c>
      <c r="H126" s="16" t="str">
        <f>'Standard Estimator - SALES'!E125</f>
        <v>NO</v>
      </c>
    </row>
    <row r="127" ht="15.75" customHeight="1">
      <c r="A127" s="23" t="str">
        <f>'Standard Estimator - SALES'!B126</f>
        <v>Dev</v>
      </c>
      <c r="B127" s="23" t="str">
        <f>'Standard Estimator - SALES'!C126</f>
        <v>Animations</v>
      </c>
      <c r="C127" s="23" t="str">
        <f>'Standard Estimator - SALES'!D126</f>
        <v>Webflow interactions (complex per page)</v>
      </c>
      <c r="D127" s="23" t="str">
        <f>'Standard Estimator - SALES'!G126</f>
        <v>Number of webflow interactions per page (complex):</v>
      </c>
      <c r="E127" s="23" t="str">
        <f>if('Standard Estimator - SALES'!F126="VARIABLE", 'Standard Estimator - SALES'!H126, "")</f>
        <v/>
      </c>
      <c r="F127" s="23" t="str">
        <f>'Standard Estimator - SALES'!Q126</f>
        <v/>
      </c>
      <c r="H127" s="16" t="str">
        <f>'Standard Estimator - SALES'!E126</f>
        <v>NO</v>
      </c>
    </row>
    <row r="128" ht="15.75" customHeight="1">
      <c r="A128" s="23" t="str">
        <f>'Standard Estimator - SALES'!B127</f>
        <v>Dev</v>
      </c>
      <c r="B128" s="23" t="str">
        <f>'Standard Estimator - SALES'!C127</f>
        <v>Animations</v>
      </c>
      <c r="C128" s="23" t="str">
        <f>'Standard Estimator - SALES'!D127</f>
        <v>Custom JS interaction (per feature)</v>
      </c>
      <c r="D128" s="23" t="str">
        <f>'Standard Estimator - SALES'!G127</f>
        <v>Number of custom JS interaction features:</v>
      </c>
      <c r="E128" s="23" t="str">
        <f>if('Standard Estimator - SALES'!F127="VARIABLE", 'Standard Estimator - SALES'!H127, "")</f>
        <v/>
      </c>
      <c r="F128" s="23" t="str">
        <f>'Standard Estimator - SALES'!Q127</f>
        <v/>
      </c>
      <c r="H128" s="16" t="str">
        <f>'Standard Estimator - SALES'!E127</f>
        <v>NO</v>
      </c>
    </row>
    <row r="129" ht="15.75" customHeight="1">
      <c r="A129" s="23" t="str">
        <f>'Standard Estimator - SALES'!B128</f>
        <v>Dev</v>
      </c>
      <c r="B129" s="23" t="str">
        <f>'Standard Estimator - SALES'!C128</f>
        <v>Animations</v>
      </c>
      <c r="C129" s="23" t="str">
        <f>'Standard Estimator - SALES'!D128</f>
        <v>Lottie integration (per animation)</v>
      </c>
      <c r="D129" s="23" t="str">
        <f>'Standard Estimator - SALES'!G128</f>
        <v>Number of Lottie integations per animation:</v>
      </c>
      <c r="E129" s="23" t="str">
        <f>if('Standard Estimator - SALES'!F128="VARIABLE", 'Standard Estimator - SALES'!H128, "")</f>
        <v/>
      </c>
      <c r="F129" s="23" t="str">
        <f>'Standard Estimator - SALES'!Q128</f>
        <v/>
      </c>
      <c r="H129" s="16" t="str">
        <f>'Standard Estimator - SALES'!E128</f>
        <v>NO</v>
      </c>
    </row>
    <row r="130" ht="15.75" customHeight="1">
      <c r="A130" s="23" t="str">
        <f>'Standard Estimator - SALES'!B129</f>
        <v>Dev</v>
      </c>
      <c r="B130" s="23" t="str">
        <f>'Standard Estimator - SALES'!C129</f>
        <v>Integrations</v>
      </c>
      <c r="C130" s="23" t="str">
        <f>'Standard Estimator - SALES'!D129</f>
        <v>GA4 + GTM setup + verification</v>
      </c>
      <c r="D130" s="23" t="str">
        <f>'Standard Estimator - SALES'!G129</f>
        <v/>
      </c>
      <c r="E130" s="23" t="str">
        <f>if('Standard Estimator - SALES'!F129="VARIABLE", 'Standard Estimator - SALES'!H129, "")</f>
        <v/>
      </c>
      <c r="F130" s="23" t="str">
        <f>'Standard Estimator - SALES'!Q129</f>
        <v/>
      </c>
      <c r="H130" s="16" t="str">
        <f>'Standard Estimator - SALES'!E129</f>
        <v>NO</v>
      </c>
    </row>
    <row r="131" ht="15.75" customHeight="1">
      <c r="A131" s="23" t="str">
        <f>'Standard Estimator - SALES'!B130</f>
        <v>Dev</v>
      </c>
      <c r="B131" s="23" t="str">
        <f>'Standard Estimator - SALES'!C130</f>
        <v>Integrations</v>
      </c>
      <c r="C131" s="23" t="str">
        <f>'Standard Estimator - SALES'!D130</f>
        <v>Conversion events setup (per event)</v>
      </c>
      <c r="D131" s="23" t="str">
        <f>'Standard Estimator - SALES'!G130</f>
        <v>Number of conversion events:</v>
      </c>
      <c r="E131" s="23" t="str">
        <f>if('Standard Estimator - SALES'!F130="VARIABLE", 'Standard Estimator - SALES'!H130, "")</f>
        <v/>
      </c>
      <c r="F131" s="23" t="str">
        <f>'Standard Estimator - SALES'!Q130</f>
        <v/>
      </c>
      <c r="H131" s="16" t="str">
        <f>'Standard Estimator - SALES'!E130</f>
        <v>NO</v>
      </c>
    </row>
    <row r="132" ht="15.75" customHeight="1">
      <c r="A132" s="23" t="str">
        <f>'Standard Estimator - SALES'!B131</f>
        <v>Dev</v>
      </c>
      <c r="B132" s="23" t="str">
        <f>'Standard Estimator - SALES'!C131</f>
        <v>Integrations</v>
      </c>
      <c r="C132" s="23" t="str">
        <f>'Standard Estimator - SALES'!D131</f>
        <v>HubSpot forms embed (per form)</v>
      </c>
      <c r="D132" s="23" t="str">
        <f>'Standard Estimator - SALES'!G131</f>
        <v>Number of Hubspot form embeds:</v>
      </c>
      <c r="E132" s="23" t="str">
        <f>if('Standard Estimator - SALES'!F131="VARIABLE", 'Standard Estimator - SALES'!H131, "")</f>
        <v/>
      </c>
      <c r="F132" s="23" t="str">
        <f>'Standard Estimator - SALES'!Q131</f>
        <v/>
      </c>
      <c r="H132" s="16" t="str">
        <f>'Standard Estimator - SALES'!E131</f>
        <v>NO</v>
      </c>
    </row>
    <row r="133" ht="15.75" customHeight="1">
      <c r="A133" s="23" t="str">
        <f>'Standard Estimator - SALES'!B132</f>
        <v>Dev</v>
      </c>
      <c r="B133" s="23" t="str">
        <f>'Standard Estimator - SALES'!C132</f>
        <v>Integrations</v>
      </c>
      <c r="C133" s="23" t="str">
        <f>'Standard Estimator - SALES'!D132</f>
        <v>Marketo form embed (per form)</v>
      </c>
      <c r="D133" s="23" t="str">
        <f>'Standard Estimator - SALES'!G132</f>
        <v>Number of Marketo form embeds:</v>
      </c>
      <c r="E133" s="23" t="str">
        <f>if('Standard Estimator - SALES'!F132="VARIABLE", 'Standard Estimator - SALES'!H132, "")</f>
        <v/>
      </c>
      <c r="F133" s="23" t="str">
        <f>'Standard Estimator - SALES'!Q132</f>
        <v/>
      </c>
      <c r="H133" s="16" t="str">
        <f>'Standard Estimator - SALES'!E132</f>
        <v>NO</v>
      </c>
    </row>
    <row r="134" ht="15.75" customHeight="1">
      <c r="A134" s="23" t="str">
        <f>'Standard Estimator - SALES'!B133</f>
        <v>Dev</v>
      </c>
      <c r="B134" s="23" t="str">
        <f>'Standard Estimator - SALES'!C133</f>
        <v>Integrations</v>
      </c>
      <c r="C134" s="23" t="str">
        <f>'Standard Estimator - SALES'!D133</f>
        <v>Calendly / scheduling embed</v>
      </c>
      <c r="D134" s="23" t="str">
        <f>'Standard Estimator - SALES'!G133</f>
        <v/>
      </c>
      <c r="E134" s="23" t="str">
        <f>if('Standard Estimator - SALES'!F133="VARIABLE", 'Standard Estimator - SALES'!H133, "")</f>
        <v/>
      </c>
      <c r="F134" s="23" t="str">
        <f>'Standard Estimator - SALES'!Q133</f>
        <v/>
      </c>
      <c r="H134" s="16" t="str">
        <f>'Standard Estimator - SALES'!E133</f>
        <v>NO</v>
      </c>
    </row>
    <row r="135" ht="15.75" customHeight="1">
      <c r="A135" s="23" t="str">
        <f>'Standard Estimator - SALES'!B134</f>
        <v>Dev</v>
      </c>
      <c r="B135" s="23" t="str">
        <f>'Standard Estimator - SALES'!C134</f>
        <v>Integrations</v>
      </c>
      <c r="C135" s="23" t="str">
        <f>'Standard Estimator - SALES'!D134</f>
        <v>Cookie consent banner + tagging rules</v>
      </c>
      <c r="D135" s="23" t="str">
        <f>'Standard Estimator - SALES'!G134</f>
        <v/>
      </c>
      <c r="E135" s="23" t="str">
        <f>if('Standard Estimator - SALES'!F134="VARIABLE", 'Standard Estimator - SALES'!H134, "")</f>
        <v/>
      </c>
      <c r="F135" s="23" t="str">
        <f>'Standard Estimator - SALES'!Q134</f>
        <v/>
      </c>
      <c r="H135" s="16" t="str">
        <f>'Standard Estimator - SALES'!E134</f>
        <v>NO</v>
      </c>
    </row>
    <row r="136" ht="15.75" customHeight="1">
      <c r="A136" s="23" t="str">
        <f>'Standard Estimator - SALES'!B135</f>
        <v>Dev</v>
      </c>
      <c r="B136" s="23" t="str">
        <f>'Standard Estimator - SALES'!C135</f>
        <v>Integrations</v>
      </c>
      <c r="C136" s="23" t="str">
        <f>'Standard Estimator - SALES'!D135</f>
        <v>Search Console verification + sitemap submit</v>
      </c>
      <c r="D136" s="23" t="str">
        <f>'Standard Estimator - SALES'!G135</f>
        <v/>
      </c>
      <c r="E136" s="23" t="str">
        <f>if('Standard Estimator - SALES'!F135="VARIABLE", 'Standard Estimator - SALES'!H135, "")</f>
        <v/>
      </c>
      <c r="F136" s="23" t="str">
        <f>'Standard Estimator - SALES'!Q135</f>
        <v/>
      </c>
      <c r="H136" s="16" t="str">
        <f>'Standard Estimator - SALES'!E135</f>
        <v>NO</v>
      </c>
    </row>
    <row r="137" ht="15.75" customHeight="1">
      <c r="A137" s="23" t="str">
        <f>'Standard Estimator - SALES'!B136</f>
        <v>Dev</v>
      </c>
      <c r="B137" s="23" t="str">
        <f>'Standard Estimator - SALES'!C136</f>
        <v>Integrations</v>
      </c>
      <c r="C137" s="23" t="str">
        <f>'Standard Estimator - SALES'!D136</f>
        <v>Bing Webmaster Tools setup</v>
      </c>
      <c r="D137" s="23" t="str">
        <f>'Standard Estimator - SALES'!G136</f>
        <v/>
      </c>
      <c r="E137" s="23" t="str">
        <f>if('Standard Estimator - SALES'!F136="VARIABLE", 'Standard Estimator - SALES'!H136, "")</f>
        <v/>
      </c>
      <c r="F137" s="23" t="str">
        <f>'Standard Estimator - SALES'!Q136</f>
        <v/>
      </c>
      <c r="H137" s="16" t="str">
        <f>'Standard Estimator - SALES'!E136</f>
        <v>NO</v>
      </c>
    </row>
    <row r="138" ht="15.75" customHeight="1">
      <c r="A138" s="23" t="str">
        <f>'Standard Estimator - SALES'!B137</f>
        <v>Dev</v>
      </c>
      <c r="B138" s="23" t="str">
        <f>'Standard Estimator - SALES'!C137</f>
        <v>Integrations</v>
      </c>
      <c r="C138" s="23" t="str">
        <f>'Standard Estimator - SALES'!D137</f>
        <v>Hotjar / MS Clarity install</v>
      </c>
      <c r="D138" s="23" t="str">
        <f>'Standard Estimator - SALES'!G137</f>
        <v/>
      </c>
      <c r="E138" s="23" t="str">
        <f>if('Standard Estimator - SALES'!F137="VARIABLE", 'Standard Estimator - SALES'!H137, "")</f>
        <v/>
      </c>
      <c r="F138" s="23" t="str">
        <f>'Standard Estimator - SALES'!Q137</f>
        <v/>
      </c>
      <c r="H138" s="16" t="str">
        <f>'Standard Estimator - SALES'!E137</f>
        <v>NO</v>
      </c>
    </row>
    <row r="139" ht="15.75" customHeight="1">
      <c r="A139" s="23" t="str">
        <f>'Standard Estimator - SALES'!B138</f>
        <v>Dev</v>
      </c>
      <c r="B139" s="23" t="str">
        <f>'Standard Estimator - SALES'!C138</f>
        <v>QA</v>
      </c>
      <c r="C139" s="23" t="str">
        <f>'Standard Estimator - SALES'!D138</f>
        <v>Responsive QA (mobile/tablet)</v>
      </c>
      <c r="D139" s="23" t="str">
        <f>'Standard Estimator - SALES'!G138</f>
        <v/>
      </c>
      <c r="E139" s="23" t="str">
        <f>if('Standard Estimator - SALES'!F138="VARIABLE", 'Standard Estimator - SALES'!H138, "")</f>
        <v/>
      </c>
      <c r="F139" s="23" t="str">
        <f>'Standard Estimator - SALES'!Q138</f>
        <v/>
      </c>
      <c r="H139" s="16" t="str">
        <f>'Standard Estimator - SALES'!E138</f>
        <v>NO</v>
      </c>
    </row>
    <row r="140" ht="15.75" customHeight="1">
      <c r="A140" s="23" t="str">
        <f>'Standard Estimator - SALES'!B139</f>
        <v>Dev</v>
      </c>
      <c r="B140" s="23" t="str">
        <f>'Standard Estimator - SALES'!C139</f>
        <v>QA</v>
      </c>
      <c r="C140" s="23" t="str">
        <f>'Standard Estimator - SALES'!D139</f>
        <v>Accessibility QA pass (WCAG basics)</v>
      </c>
      <c r="D140" s="23" t="str">
        <f>'Standard Estimator - SALES'!G139</f>
        <v/>
      </c>
      <c r="E140" s="23" t="str">
        <f>if('Standard Estimator - SALES'!F139="VARIABLE", 'Standard Estimator - SALES'!H139, "")</f>
        <v/>
      </c>
      <c r="F140" s="23" t="str">
        <f>'Standard Estimator - SALES'!Q139</f>
        <v/>
      </c>
      <c r="H140" s="16" t="str">
        <f>'Standard Estimator - SALES'!E139</f>
        <v>NO</v>
      </c>
    </row>
    <row r="141" ht="15.75" customHeight="1">
      <c r="A141" s="23" t="str">
        <f>'Standard Estimator - SALES'!B140</f>
        <v>Dev</v>
      </c>
      <c r="B141" s="23" t="str">
        <f>'Standard Estimator - SALES'!C140</f>
        <v>QA</v>
      </c>
      <c r="C141" s="23" t="str">
        <f>'Standard Estimator - SALES'!D140</f>
        <v>Content QA + link check</v>
      </c>
      <c r="D141" s="23" t="str">
        <f>'Standard Estimator - SALES'!G140</f>
        <v/>
      </c>
      <c r="E141" s="23" t="str">
        <f>if('Standard Estimator - SALES'!F140="VARIABLE", 'Standard Estimator - SALES'!H140, "")</f>
        <v/>
      </c>
      <c r="F141" s="23" t="str">
        <f>'Standard Estimator - SALES'!Q140</f>
        <v/>
      </c>
      <c r="H141" s="16" t="str">
        <f>'Standard Estimator - SALES'!E140</f>
        <v>NO</v>
      </c>
    </row>
    <row r="142" ht="15.75" customHeight="1">
      <c r="A142" s="23" t="str">
        <f>'Standard Estimator - SALES'!B141</f>
        <v>Dev</v>
      </c>
      <c r="B142" s="23" t="str">
        <f>'Standard Estimator - SALES'!C141</f>
        <v>QA</v>
      </c>
      <c r="C142" s="23" t="str">
        <f>'Standard Estimator - SALES'!D141</f>
        <v>Pre-launch checklist + stakeholder signoff</v>
      </c>
      <c r="D142" s="23" t="str">
        <f>'Standard Estimator - SALES'!G141</f>
        <v/>
      </c>
      <c r="E142" s="23" t="str">
        <f>if('Standard Estimator - SALES'!F141="VARIABLE", 'Standard Estimator - SALES'!H141, "")</f>
        <v/>
      </c>
      <c r="F142" s="23" t="str">
        <f>'Standard Estimator - SALES'!Q141</f>
        <v/>
      </c>
      <c r="H142" s="16" t="str">
        <f>'Standard Estimator - SALES'!E141</f>
        <v>NO</v>
      </c>
    </row>
    <row r="143" ht="15.75" customHeight="1">
      <c r="A143" s="23" t="str">
        <f>'Standard Estimator - SALES'!B142</f>
        <v>Dev</v>
      </c>
      <c r="B143" s="23" t="str">
        <f>'Standard Estimator - SALES'!C142</f>
        <v>Launch</v>
      </c>
      <c r="C143" s="23" t="str">
        <f>'Standard Estimator - SALES'!D142</f>
        <v>Launch support window</v>
      </c>
      <c r="D143" s="23" t="str">
        <f>'Standard Estimator - SALES'!G142</f>
        <v/>
      </c>
      <c r="E143" s="23" t="str">
        <f>if('Standard Estimator - SALES'!F142="VARIABLE", 'Standard Estimator - SALES'!H142, "")</f>
        <v/>
      </c>
      <c r="F143" s="23" t="str">
        <f>'Standard Estimator - SALES'!Q142</f>
        <v/>
      </c>
      <c r="H143" s="16" t="str">
        <f>'Standard Estimator - SALES'!E142</f>
        <v>NO</v>
      </c>
    </row>
    <row r="144" ht="15.75" customHeight="1">
      <c r="A144" s="23" t="str">
        <f>'Standard Estimator - SALES'!B143</f>
        <v>Dev</v>
      </c>
      <c r="B144" s="23" t="str">
        <f>'Standard Estimator - SALES'!C143</f>
        <v>Launch</v>
      </c>
      <c r="C144" s="23" t="str">
        <f>'Standard Estimator - SALES'!D143</f>
        <v>Post-launch monitoring (24–48h)</v>
      </c>
      <c r="D144" s="23" t="str">
        <f>'Standard Estimator - SALES'!G143</f>
        <v/>
      </c>
      <c r="E144" s="23" t="str">
        <f>if('Standard Estimator - SALES'!F143="VARIABLE", 'Standard Estimator - SALES'!H143, "")</f>
        <v/>
      </c>
      <c r="F144" s="23" t="str">
        <f>'Standard Estimator - SALES'!Q143</f>
        <v/>
      </c>
      <c r="H144" s="16" t="str">
        <f>'Standard Estimator - SALES'!E143</f>
        <v>NO</v>
      </c>
    </row>
    <row r="145" ht="15.75" customHeight="1">
      <c r="A145" s="23" t="str">
        <f>'Standard Estimator - SALES'!B144</f>
        <v>Dev</v>
      </c>
      <c r="B145" s="23" t="str">
        <f>'Standard Estimator - SALES'!C144</f>
        <v>Backend</v>
      </c>
      <c r="C145" s="23" t="str">
        <f>'Standard Estimator - SALES'!D144</f>
        <v>CRM sync (HubSpot/Salesforce) – custom</v>
      </c>
      <c r="D145" s="23" t="str">
        <f>'Standard Estimator - SALES'!G144</f>
        <v/>
      </c>
      <c r="E145" s="23" t="str">
        <f>if('Standard Estimator - SALES'!F144="VARIABLE", 'Standard Estimator - SALES'!H144, "")</f>
        <v/>
      </c>
      <c r="F145" s="23" t="str">
        <f>'Standard Estimator - SALES'!Q144</f>
        <v/>
      </c>
      <c r="H145" s="16" t="str">
        <f>'Standard Estimator - SALES'!E144</f>
        <v>NO</v>
      </c>
    </row>
    <row r="146" ht="15.75" customHeight="1">
      <c r="A146" s="23" t="str">
        <f>'Standard Estimator - SALES'!B145</f>
        <v>Growth</v>
      </c>
      <c r="B146" s="23" t="str">
        <f>'Standard Estimator - SALES'!C145</f>
        <v>WAIO</v>
      </c>
      <c r="C146" s="23" t="str">
        <f>'Standard Estimator - SALES'!D145</f>
        <v>WAIO framework workshop + requirements</v>
      </c>
      <c r="D146" s="23" t="str">
        <f>'Standard Estimator - SALES'!G145</f>
        <v/>
      </c>
      <c r="E146" s="23" t="str">
        <f>if('Standard Estimator - SALES'!F145="VARIABLE", 'Standard Estimator - SALES'!H145, "")</f>
        <v/>
      </c>
      <c r="F146" s="23" t="str">
        <f>'Standard Estimator - SALES'!Q145</f>
        <v/>
      </c>
      <c r="H146" s="16" t="str">
        <f>'Standard Estimator - SALES'!E145</f>
        <v>NO</v>
      </c>
    </row>
    <row r="147" ht="15.75" customHeight="1">
      <c r="A147" s="23" t="str">
        <f>'Standard Estimator - SALES'!B146</f>
        <v>Growth</v>
      </c>
      <c r="B147" s="23" t="str">
        <f>'Standard Estimator - SALES'!C146</f>
        <v>WAIO</v>
      </c>
      <c r="C147" s="23" t="str">
        <f>'Standard Estimator - SALES'!D146</f>
        <v>WAIO implementation plan + backlog</v>
      </c>
      <c r="D147" s="23" t="str">
        <f>'Standard Estimator - SALES'!G146</f>
        <v/>
      </c>
      <c r="E147" s="23" t="str">
        <f>if('Standard Estimator - SALES'!F146="VARIABLE", 'Standard Estimator - SALES'!H146, "")</f>
        <v/>
      </c>
      <c r="F147" s="23" t="str">
        <f>'Standard Estimator - SALES'!Q146</f>
        <v/>
      </c>
      <c r="H147" s="16" t="str">
        <f>'Standard Estimator - SALES'!E146</f>
        <v>NO</v>
      </c>
    </row>
    <row r="148" ht="15.75" customHeight="1">
      <c r="A148" s="23" t="str">
        <f>'Standard Estimator - SALES'!B147</f>
        <v>Growth</v>
      </c>
      <c r="B148" s="23" t="str">
        <f>'Standard Estimator - SALES'!C147</f>
        <v>WAIO</v>
      </c>
      <c r="C148" s="23" t="str">
        <f>'Standard Estimator - SALES'!D147</f>
        <v>WAIO template recommendations (per template)</v>
      </c>
      <c r="D148" s="23" t="str">
        <f>'Standard Estimator - SALES'!G147</f>
        <v/>
      </c>
      <c r="E148" s="23" t="str">
        <f>if('Standard Estimator - SALES'!F147="VARIABLE", 'Standard Estimator - SALES'!H147, "")</f>
        <v/>
      </c>
      <c r="F148" s="23" t="str">
        <f>'Standard Estimator - SALES'!Q147</f>
        <v/>
      </c>
      <c r="H148" s="16" t="str">
        <f>'Standard Estimator - SALES'!E147</f>
        <v>NO</v>
      </c>
    </row>
    <row r="149" ht="15.75" customHeight="1">
      <c r="D149" s="17"/>
      <c r="E149" s="9" t="str">
        <f>if('Standard Estimator - SALES'!F148="VARIABLE", 'Standard Estimator - SALES'!H148, "")</f>
        <v/>
      </c>
      <c r="H149" s="16" t="str">
        <f>'Standard Estimator - SALES'!E148</f>
        <v/>
      </c>
    </row>
    <row r="150" ht="15.75" customHeight="1">
      <c r="D150" s="17"/>
      <c r="E150" s="9" t="str">
        <f>if('Standard Estimator - SALES'!F149="VARIABLE", 'Standard Estimator - SALES'!H149, "")</f>
        <v/>
      </c>
      <c r="H150" s="16" t="str">
        <f>'Standard Estimator - SALES'!E149</f>
        <v/>
      </c>
    </row>
    <row r="151" ht="15.75" customHeight="1">
      <c r="D151" s="17"/>
      <c r="E151" s="9" t="str">
        <f>if('Standard Estimator - SALES'!F150="VARIABLE", 'Standard Estimator - SALES'!H150, "")</f>
        <v/>
      </c>
      <c r="H151" s="16" t="str">
        <f>'Standard Estimator - SALES'!E150</f>
        <v/>
      </c>
    </row>
    <row r="152" ht="15.75" customHeight="1">
      <c r="D152" s="17"/>
      <c r="E152" s="9" t="str">
        <f>if('Standard Estimator - SALES'!F151="VARIABLE", 'Standard Estimator - SALES'!H151, "")</f>
        <v/>
      </c>
      <c r="H152" s="16" t="str">
        <f>'Standard Estimator - SALES'!E151</f>
        <v/>
      </c>
    </row>
    <row r="153" ht="15.75" customHeight="1">
      <c r="D153" s="17"/>
      <c r="E153" s="9" t="str">
        <f>if('Standard Estimator - SALES'!F152="VARIABLE", 'Standard Estimator - SALES'!H152, "")</f>
        <v/>
      </c>
      <c r="H153" s="16" t="str">
        <f>'Standard Estimator - SALES'!E152</f>
        <v/>
      </c>
    </row>
    <row r="154" ht="15.75" customHeight="1">
      <c r="D154" s="17"/>
      <c r="E154" s="9" t="str">
        <f>if('Standard Estimator - SALES'!F153="VARIABLE", 'Standard Estimator - SALES'!H153, "")</f>
        <v/>
      </c>
      <c r="H154" s="16" t="str">
        <f>'Standard Estimator - SALES'!E153</f>
        <v/>
      </c>
    </row>
    <row r="155" ht="15.75" customHeight="1">
      <c r="D155" s="17"/>
      <c r="E155" s="9" t="str">
        <f>if('Standard Estimator - SALES'!F154="VARIABLE", 'Standard Estimator - SALES'!H154, "")</f>
        <v/>
      </c>
      <c r="H155" s="16" t="str">
        <f>'Standard Estimator - SALES'!E154</f>
        <v/>
      </c>
    </row>
    <row r="156" ht="15.75" customHeight="1">
      <c r="D156" s="17"/>
      <c r="E156" s="9" t="str">
        <f>if('Standard Estimator - SALES'!F155="VARIABLE", 'Standard Estimator - SALES'!H155, "")</f>
        <v/>
      </c>
      <c r="H156" s="16" t="str">
        <f>'Standard Estimator - SALES'!E153</f>
        <v/>
      </c>
    </row>
    <row r="157" ht="15.75" customHeight="1">
      <c r="D157" s="17"/>
      <c r="E157" s="9" t="str">
        <f>if('Standard Estimator - SALES'!F156="VARIABLE", 'Standard Estimator - SALES'!H156, "")</f>
        <v/>
      </c>
      <c r="H157" s="16" t="str">
        <f>'Standard Estimator - SALES'!E154</f>
        <v/>
      </c>
    </row>
    <row r="158" ht="15.75" customHeight="1">
      <c r="D158" s="17"/>
      <c r="E158" s="9" t="str">
        <f>if('Standard Estimator - SALES'!F157="VARIABLE", 'Standard Estimator - SALES'!H157, "")</f>
        <v/>
      </c>
      <c r="H158" s="16" t="str">
        <f>'Standard Estimator - SALES'!E155</f>
        <v/>
      </c>
    </row>
    <row r="159" ht="15.75" customHeight="1">
      <c r="D159" s="17"/>
      <c r="E159" s="9" t="str">
        <f>if('Standard Estimator - SALES'!F158="VARIABLE", 'Standard Estimator - SALES'!H158, "")</f>
        <v/>
      </c>
      <c r="H159" s="16" t="str">
        <f>'Standard Estimator - SALES'!E156</f>
        <v/>
      </c>
    </row>
    <row r="160" ht="15.75" customHeight="1">
      <c r="D160" s="17"/>
      <c r="E160" s="9" t="str">
        <f>if('Standard Estimator - SALES'!F159="VARIABLE", 'Standard Estimator - SALES'!H159, "")</f>
        <v/>
      </c>
      <c r="H160" s="16" t="str">
        <f>'Standard Estimator - SALES'!E157</f>
        <v/>
      </c>
    </row>
    <row r="161" ht="15.75" customHeight="1">
      <c r="D161" s="17"/>
      <c r="E161" s="9" t="str">
        <f>if('Standard Estimator - SALES'!F160="VARIABLE", 'Standard Estimator - SALES'!H160, "")</f>
        <v/>
      </c>
      <c r="H161" s="16" t="str">
        <f>'Standard Estimator - SALES'!E158</f>
        <v/>
      </c>
    </row>
    <row r="162" ht="15.75" customHeight="1">
      <c r="D162" s="17"/>
      <c r="E162" s="9" t="str">
        <f>if('Standard Estimator - SALES'!F161="VARIABLE", 'Standard Estimator - SALES'!H161, "")</f>
        <v/>
      </c>
      <c r="H162" s="16" t="str">
        <f>'Standard Estimator - SALES'!E159</f>
        <v/>
      </c>
    </row>
    <row r="163" ht="15.75" customHeight="1">
      <c r="D163" s="17"/>
      <c r="E163" s="9" t="str">
        <f>if('Standard Estimator - SALES'!F162="VARIABLE", 'Standard Estimator - SALES'!H162, "")</f>
        <v/>
      </c>
      <c r="H163" s="16" t="str">
        <f>'Standard Estimator - SALES'!E160</f>
        <v/>
      </c>
    </row>
    <row r="164" ht="15.75" customHeight="1">
      <c r="D164" s="17"/>
      <c r="E164" s="9" t="str">
        <f>if('Standard Estimator - SALES'!F163="VARIABLE", 'Standard Estimator - SALES'!H163, "")</f>
        <v/>
      </c>
      <c r="H164" s="16" t="str">
        <f>'Standard Estimator - SALES'!E161</f>
        <v/>
      </c>
    </row>
    <row r="165" ht="15.75" customHeight="1">
      <c r="D165" s="17"/>
      <c r="E165" s="9" t="str">
        <f>if('Standard Estimator - SALES'!F164="VARIABLE", 'Standard Estimator - SALES'!H164, "")</f>
        <v/>
      </c>
      <c r="H165" s="16" t="str">
        <f>'Standard Estimator - SALES'!E162</f>
        <v/>
      </c>
    </row>
    <row r="166" ht="15.75" customHeight="1">
      <c r="D166" s="17"/>
      <c r="E166" s="9" t="str">
        <f>if('Standard Estimator - SALES'!F165="VARIABLE", 'Standard Estimator - SALES'!H165, "")</f>
        <v/>
      </c>
      <c r="H166" s="16" t="str">
        <f>'Standard Estimator - SALES'!E163</f>
        <v/>
      </c>
    </row>
    <row r="167" ht="15.75" customHeight="1">
      <c r="D167" s="17"/>
      <c r="E167" s="9" t="str">
        <f>if('Standard Estimator - SALES'!F166="VARIABLE", 'Standard Estimator - SALES'!H166, "")</f>
        <v/>
      </c>
      <c r="H167" s="16" t="str">
        <f>'Standard Estimator - SALES'!E164</f>
        <v/>
      </c>
    </row>
    <row r="168" ht="15.75" customHeight="1">
      <c r="D168" s="17"/>
      <c r="E168" s="9" t="str">
        <f>if('Standard Estimator - SALES'!F167="VARIABLE", 'Standard Estimator - SALES'!H167, "")</f>
        <v/>
      </c>
      <c r="H168" s="16" t="str">
        <f>'Standard Estimator - SALES'!E165</f>
        <v/>
      </c>
    </row>
    <row r="169" ht="15.75" customHeight="1">
      <c r="D169" s="17"/>
      <c r="E169" s="9" t="str">
        <f>if('Standard Estimator - SALES'!F168="VARIABLE", 'Standard Estimator - SALES'!H168, "")</f>
        <v/>
      </c>
      <c r="H169" s="16" t="str">
        <f>'Standard Estimator - SALES'!E166</f>
        <v/>
      </c>
    </row>
    <row r="170" ht="15.75" customHeight="1">
      <c r="D170" s="17"/>
      <c r="H170" s="16" t="str">
        <f>'Standard Estimator - SALES'!E167</f>
        <v/>
      </c>
    </row>
    <row r="171" ht="15.75" customHeight="1">
      <c r="D171" s="17"/>
      <c r="H171" s="16" t="str">
        <f>'Standard Estimator - SALES'!E168</f>
        <v/>
      </c>
    </row>
    <row r="172" ht="15.75" customHeight="1">
      <c r="D172" s="17"/>
      <c r="H172" s="16" t="str">
        <f>'Standard Estimator - SALES'!E169</f>
        <v/>
      </c>
    </row>
    <row r="173" ht="15.75" customHeight="1">
      <c r="D173" s="17"/>
      <c r="H173" s="16" t="str">
        <f>'Standard Estimator - SALES'!E170</f>
        <v/>
      </c>
    </row>
    <row r="174" ht="15.75" customHeight="1">
      <c r="D174" s="17"/>
      <c r="H174" s="16" t="str">
        <f>'Standard Estimator - SALES'!E171</f>
        <v/>
      </c>
    </row>
    <row r="175" ht="15.75" customHeight="1">
      <c r="D175" s="17"/>
      <c r="H175" s="16" t="str">
        <f>'Standard Estimator - SALES'!E172</f>
        <v/>
      </c>
    </row>
    <row r="176" ht="15.75" customHeight="1">
      <c r="D176" s="17"/>
      <c r="H176" s="16" t="str">
        <f>'Standard Estimator - SALES'!E173</f>
        <v/>
      </c>
    </row>
    <row r="177" ht="15.75" customHeight="1">
      <c r="D177" s="17"/>
      <c r="H177" s="16" t="str">
        <f>'Standard Estimator - SALES'!E174</f>
        <v/>
      </c>
    </row>
    <row r="178" ht="15.75" customHeight="1">
      <c r="D178" s="17"/>
      <c r="H178" s="16" t="str">
        <f>'Standard Estimator - SALES'!E175</f>
        <v/>
      </c>
    </row>
    <row r="179" ht="15.75" customHeight="1">
      <c r="D179" s="17"/>
      <c r="H179" s="16" t="str">
        <f>'Standard Estimator - SALES'!E176</f>
        <v/>
      </c>
    </row>
    <row r="180" ht="15.75" customHeight="1">
      <c r="D180" s="17"/>
      <c r="H180" s="16" t="str">
        <f>'Standard Estimator - SALES'!E177</f>
        <v/>
      </c>
    </row>
    <row r="181" ht="15.75" customHeight="1">
      <c r="D181" s="17"/>
      <c r="H181" s="16" t="str">
        <f>'Standard Estimator - SALES'!E178</f>
        <v/>
      </c>
    </row>
    <row r="182" ht="15.75" customHeight="1">
      <c r="D182" s="17"/>
      <c r="H182" s="16" t="str">
        <f>'Standard Estimator - SALES'!E179</f>
        <v/>
      </c>
    </row>
    <row r="183" ht="15.75" customHeight="1">
      <c r="D183" s="17"/>
      <c r="H183" s="16" t="str">
        <f>'Standard Estimator - SALES'!E180</f>
        <v/>
      </c>
    </row>
    <row r="184" ht="15.75" customHeight="1">
      <c r="D184" s="17"/>
      <c r="H184" s="16" t="str">
        <f>'Standard Estimator - SALES'!E181</f>
        <v/>
      </c>
    </row>
    <row r="185" ht="15.75" customHeight="1">
      <c r="D185" s="17"/>
      <c r="H185" s="16" t="str">
        <f>'Standard Estimator - SALES'!E182</f>
        <v/>
      </c>
    </row>
    <row r="186" ht="15.75" customHeight="1">
      <c r="D186" s="17"/>
      <c r="H186" s="16" t="str">
        <f>'Standard Estimator - SALES'!E183</f>
        <v/>
      </c>
    </row>
    <row r="187" ht="15.75" customHeight="1">
      <c r="D187" s="17"/>
      <c r="H187" s="16" t="str">
        <f>'Standard Estimator - SALES'!E184</f>
        <v/>
      </c>
    </row>
    <row r="188" ht="15.75" customHeight="1">
      <c r="D188" s="17"/>
      <c r="H188" s="16" t="str">
        <f>'Standard Estimator - SALES'!E185</f>
        <v/>
      </c>
    </row>
    <row r="189" ht="15.75" customHeight="1">
      <c r="D189" s="17"/>
      <c r="H189" s="16" t="str">
        <f>'Standard Estimator - SALES'!E186</f>
        <v/>
      </c>
    </row>
    <row r="190" ht="15.75" customHeight="1">
      <c r="D190" s="17"/>
      <c r="H190" s="16" t="str">
        <f>'Standard Estimator - SALES'!E187</f>
        <v/>
      </c>
    </row>
    <row r="191" ht="15.75" customHeight="1">
      <c r="D191" s="17"/>
      <c r="H191" s="16" t="str">
        <f>'Standard Estimator - SALES'!E188</f>
        <v/>
      </c>
    </row>
    <row r="192" ht="15.75" customHeight="1">
      <c r="D192" s="17"/>
      <c r="H192" s="16" t="str">
        <f>'Standard Estimator - SALES'!E189</f>
        <v/>
      </c>
    </row>
    <row r="193" ht="15.75" customHeight="1">
      <c r="D193" s="17"/>
      <c r="H193" s="16" t="str">
        <f>'Standard Estimator - SALES'!E190</f>
        <v/>
      </c>
    </row>
    <row r="194" ht="15.75" customHeight="1">
      <c r="D194" s="17"/>
      <c r="H194" s="16" t="str">
        <f>'Standard Estimator - SALES'!E191</f>
        <v/>
      </c>
    </row>
    <row r="195" ht="15.75" customHeight="1">
      <c r="D195" s="17"/>
      <c r="H195" s="16" t="str">
        <f>'Standard Estimator - SALES'!E192</f>
        <v/>
      </c>
    </row>
    <row r="196" ht="15.75" customHeight="1">
      <c r="D196" s="17"/>
      <c r="H196" s="16" t="str">
        <f>'Standard Estimator - SALES'!E193</f>
        <v/>
      </c>
    </row>
    <row r="197" ht="15.75" customHeight="1">
      <c r="D197" s="17"/>
      <c r="H197" s="16" t="str">
        <f>'Standard Estimator - SALES'!E194</f>
        <v/>
      </c>
    </row>
    <row r="198" ht="15.75" customHeight="1">
      <c r="D198" s="17"/>
      <c r="H198" s="16" t="str">
        <f>'Standard Estimator - SALES'!E195</f>
        <v/>
      </c>
    </row>
    <row r="199" ht="15.75" customHeight="1">
      <c r="D199" s="17"/>
      <c r="H199" s="16" t="str">
        <f>'Standard Estimator - SALES'!E196</f>
        <v/>
      </c>
    </row>
    <row r="200" ht="15.75" customHeight="1">
      <c r="D200" s="17"/>
      <c r="H200" s="16" t="str">
        <f>'Standard Estimator - SALES'!E197</f>
        <v/>
      </c>
    </row>
    <row r="201" ht="15.75" customHeight="1">
      <c r="D201" s="17"/>
      <c r="H201" s="16" t="str">
        <f>'Standard Estimator - SALES'!E198</f>
        <v/>
      </c>
    </row>
    <row r="202" ht="15.75" customHeight="1">
      <c r="D202" s="17"/>
      <c r="H202" s="16" t="str">
        <f>'Standard Estimator - SALES'!E199</f>
        <v/>
      </c>
    </row>
    <row r="203" ht="15.75" customHeight="1">
      <c r="D203" s="17"/>
      <c r="H203" s="16" t="str">
        <f>'Standard Estimator - SALES'!E200</f>
        <v/>
      </c>
    </row>
    <row r="204" ht="15.75" customHeight="1">
      <c r="D204" s="17"/>
      <c r="H204" s="16" t="str">
        <f>'Standard Estimator - SALES'!E201</f>
        <v/>
      </c>
    </row>
    <row r="205" ht="15.75" customHeight="1">
      <c r="D205" s="17"/>
      <c r="H205" s="16" t="str">
        <f>'Standard Estimator - SALES'!E202</f>
        <v/>
      </c>
    </row>
    <row r="206" ht="15.75" customHeight="1">
      <c r="D206" s="17"/>
      <c r="H206" s="16" t="str">
        <f>'Standard Estimator - SALES'!E203</f>
        <v/>
      </c>
    </row>
    <row r="207" ht="15.75" customHeight="1">
      <c r="D207" s="17"/>
      <c r="H207" s="16" t="str">
        <f>'Standard Estimator - SALES'!E204</f>
        <v/>
      </c>
    </row>
    <row r="208" ht="15.75" customHeight="1">
      <c r="D208" s="17"/>
      <c r="H208" s="16" t="str">
        <f>'Standard Estimator - SALES'!E205</f>
        <v/>
      </c>
    </row>
    <row r="209" ht="15.75" customHeight="1">
      <c r="D209" s="17"/>
      <c r="H209" s="16" t="str">
        <f>'Standard Estimator - SALES'!E206</f>
        <v/>
      </c>
    </row>
    <row r="210" ht="15.75" customHeight="1">
      <c r="D210" s="17"/>
      <c r="H210" s="16" t="str">
        <f>'Standard Estimator - SALES'!E207</f>
        <v/>
      </c>
    </row>
    <row r="211" ht="15.75" customHeight="1">
      <c r="D211" s="17"/>
      <c r="H211" s="16" t="str">
        <f>'Standard Estimator - SALES'!E208</f>
        <v/>
      </c>
    </row>
    <row r="212" ht="15.75" customHeight="1">
      <c r="D212" s="17"/>
      <c r="H212" s="16" t="str">
        <f>'Standard Estimator - SALES'!E209</f>
        <v/>
      </c>
    </row>
    <row r="213" ht="15.75" customHeight="1">
      <c r="D213" s="17"/>
      <c r="H213" s="16" t="str">
        <f>'Standard Estimator - SALES'!E210</f>
        <v/>
      </c>
    </row>
    <row r="214" ht="15.75" customHeight="1">
      <c r="D214" s="17"/>
      <c r="H214" s="16" t="str">
        <f>'Standard Estimator - SALES'!E211</f>
        <v/>
      </c>
    </row>
    <row r="215" ht="15.75" customHeight="1">
      <c r="D215" s="17"/>
      <c r="H215" s="16" t="str">
        <f>'Standard Estimator - SALES'!E212</f>
        <v/>
      </c>
    </row>
    <row r="216" ht="15.75" customHeight="1">
      <c r="D216" s="17"/>
      <c r="H216" s="16" t="str">
        <f>'Standard Estimator - SALES'!E213</f>
        <v/>
      </c>
    </row>
    <row r="217" ht="15.75" customHeight="1">
      <c r="D217" s="17"/>
      <c r="H217" s="16" t="str">
        <f>'Standard Estimator - SALES'!E214</f>
        <v/>
      </c>
    </row>
    <row r="218" ht="15.75" customHeight="1">
      <c r="D218" s="17"/>
      <c r="H218" s="16" t="str">
        <f>'Standard Estimator - SALES'!E215</f>
        <v/>
      </c>
    </row>
    <row r="219" ht="15.75" customHeight="1">
      <c r="D219" s="17"/>
      <c r="H219" s="16" t="str">
        <f>'Standard Estimator - SALES'!E216</f>
        <v/>
      </c>
    </row>
    <row r="220" ht="15.75" customHeight="1">
      <c r="D220" s="17"/>
      <c r="H220" s="16" t="str">
        <f>'Standard Estimator - SALES'!E217</f>
        <v/>
      </c>
    </row>
    <row r="221" ht="15.75" customHeight="1">
      <c r="D221" s="17"/>
      <c r="H221" s="16" t="str">
        <f>'Standard Estimator - SALES'!E218</f>
        <v/>
      </c>
    </row>
    <row r="222" ht="15.75" customHeight="1">
      <c r="D222" s="17"/>
      <c r="H222" s="16" t="str">
        <f>'Standard Estimator - SALES'!E219</f>
        <v/>
      </c>
    </row>
    <row r="223" ht="15.75" customHeight="1">
      <c r="D223" s="17"/>
      <c r="H223" s="16" t="str">
        <f>'Standard Estimator - SALES'!E220</f>
        <v/>
      </c>
    </row>
    <row r="224" ht="15.75" customHeight="1">
      <c r="D224" s="17"/>
      <c r="H224" s="16" t="str">
        <f>'Standard Estimator - SALES'!E221</f>
        <v/>
      </c>
    </row>
    <row r="225" ht="15.75" customHeight="1">
      <c r="D225" s="17"/>
      <c r="H225" s="16" t="str">
        <f>'Standard Estimator - SALES'!E222</f>
        <v/>
      </c>
    </row>
    <row r="226" ht="15.75" customHeight="1">
      <c r="D226" s="17"/>
      <c r="H226" s="16" t="str">
        <f>'Standard Estimator - SALES'!E223</f>
        <v/>
      </c>
    </row>
    <row r="227" ht="15.75" customHeight="1">
      <c r="D227" s="17"/>
      <c r="H227" s="16" t="str">
        <f>'Standard Estimator - SALES'!E224</f>
        <v/>
      </c>
    </row>
    <row r="228" ht="15.75" customHeight="1">
      <c r="D228" s="17"/>
      <c r="H228" s="16" t="str">
        <f>'Standard Estimator - SALES'!E225</f>
        <v/>
      </c>
    </row>
    <row r="229" ht="15.75" customHeight="1">
      <c r="D229" s="17"/>
      <c r="H229" s="16" t="str">
        <f>'Standard Estimator - SALES'!E226</f>
        <v/>
      </c>
    </row>
    <row r="230" ht="15.75" customHeight="1">
      <c r="D230" s="17"/>
      <c r="H230" s="16" t="str">
        <f>'Standard Estimator - SALES'!E227</f>
        <v/>
      </c>
    </row>
    <row r="231" ht="15.75" customHeight="1">
      <c r="D231" s="17"/>
      <c r="H231" s="16" t="str">
        <f>'Standard Estimator - SALES'!E228</f>
        <v/>
      </c>
    </row>
    <row r="232" ht="15.75" customHeight="1">
      <c r="D232" s="17"/>
      <c r="H232" s="16" t="str">
        <f>'Standard Estimator - SALES'!E229</f>
        <v/>
      </c>
    </row>
    <row r="233" ht="15.75" customHeight="1">
      <c r="D233" s="17"/>
      <c r="H233" s="16" t="str">
        <f>'Standard Estimator - SALES'!E230</f>
        <v/>
      </c>
    </row>
    <row r="234" ht="15.75" customHeight="1">
      <c r="D234" s="17"/>
      <c r="H234" s="16" t="str">
        <f>'Standard Estimator - SALES'!E231</f>
        <v/>
      </c>
    </row>
    <row r="235" ht="15.75" customHeight="1">
      <c r="D235" s="17"/>
      <c r="H235" s="16" t="str">
        <f>'Standard Estimator - SALES'!E232</f>
        <v/>
      </c>
    </row>
    <row r="236" ht="15.75" customHeight="1">
      <c r="D236" s="17"/>
      <c r="H236" s="16" t="str">
        <f>'Standard Estimator - SALES'!E233</f>
        <v/>
      </c>
    </row>
    <row r="237" ht="15.75" customHeight="1">
      <c r="D237" s="17"/>
      <c r="H237" s="16" t="str">
        <f>'Standard Estimator - SALES'!E234</f>
        <v/>
      </c>
    </row>
    <row r="238" ht="15.75" customHeight="1">
      <c r="D238" s="17"/>
      <c r="H238" s="16" t="str">
        <f>'Standard Estimator - SALES'!E235</f>
        <v/>
      </c>
    </row>
    <row r="239" ht="15.75" customHeight="1">
      <c r="D239" s="17"/>
      <c r="H239" s="16" t="str">
        <f>'Standard Estimator - SALES'!E236</f>
        <v/>
      </c>
    </row>
    <row r="240" ht="15.75" customHeight="1">
      <c r="D240" s="17"/>
    </row>
    <row r="241" ht="15.75" customHeight="1">
      <c r="D241" s="17"/>
    </row>
    <row r="242" ht="15.75" customHeight="1">
      <c r="D242" s="17"/>
    </row>
    <row r="243" ht="15.75" customHeight="1">
      <c r="D243" s="17"/>
    </row>
    <row r="244" ht="15.75" customHeight="1">
      <c r="D244" s="17"/>
    </row>
    <row r="245" ht="15.75" customHeight="1">
      <c r="D245" s="17"/>
    </row>
    <row r="246" ht="15.75" customHeight="1">
      <c r="D246" s="17"/>
    </row>
    <row r="247" ht="15.75" customHeight="1">
      <c r="D247" s="17"/>
    </row>
    <row r="248" ht="15.75" customHeight="1">
      <c r="D248" s="17"/>
    </row>
    <row r="249" ht="15.75" customHeight="1">
      <c r="D249" s="17"/>
    </row>
    <row r="250" ht="15.75" customHeight="1">
      <c r="D250" s="17"/>
    </row>
    <row r="251" ht="15.75" customHeight="1">
      <c r="D251" s="17"/>
    </row>
    <row r="252" ht="15.75" customHeight="1">
      <c r="D252" s="17"/>
    </row>
    <row r="253" ht="15.75" customHeight="1">
      <c r="D253" s="17"/>
    </row>
    <row r="254" ht="15.75" customHeight="1">
      <c r="D254" s="17"/>
    </row>
    <row r="255" ht="15.75" customHeight="1">
      <c r="D255" s="17"/>
    </row>
    <row r="256" ht="15.75" customHeight="1">
      <c r="D256" s="17"/>
    </row>
    <row r="257" ht="15.75" customHeight="1">
      <c r="D257" s="17"/>
    </row>
    <row r="258" ht="15.75" customHeight="1">
      <c r="D258" s="17"/>
    </row>
    <row r="259" ht="15.75" customHeight="1">
      <c r="D259" s="17"/>
    </row>
    <row r="260" ht="15.75" customHeight="1">
      <c r="D260" s="17"/>
    </row>
    <row r="261" ht="15.75" customHeight="1">
      <c r="D261" s="17"/>
    </row>
    <row r="262" ht="15.75" customHeight="1">
      <c r="D262" s="17"/>
    </row>
    <row r="263" ht="15.75" customHeight="1">
      <c r="D263" s="17"/>
    </row>
    <row r="264" ht="15.75" customHeight="1">
      <c r="D264" s="17"/>
    </row>
    <row r="265" ht="15.75" customHeight="1">
      <c r="D265" s="17"/>
    </row>
    <row r="266" ht="15.75" customHeight="1">
      <c r="D266" s="17"/>
    </row>
    <row r="267" ht="15.75" customHeight="1">
      <c r="D267" s="17"/>
    </row>
    <row r="268" ht="15.75" customHeight="1">
      <c r="D268" s="17"/>
    </row>
    <row r="269" ht="15.75" customHeight="1">
      <c r="D269" s="17"/>
    </row>
    <row r="270" ht="15.75" customHeight="1">
      <c r="D270" s="17"/>
    </row>
    <row r="271" ht="15.75" customHeight="1">
      <c r="D271" s="17"/>
    </row>
    <row r="272" ht="15.75" customHeight="1">
      <c r="D272" s="17"/>
    </row>
    <row r="273" ht="15.75" customHeight="1">
      <c r="D273" s="17"/>
    </row>
    <row r="274" ht="15.75" customHeight="1">
      <c r="D274" s="17"/>
    </row>
    <row r="275" ht="15.75" customHeight="1">
      <c r="D275" s="17"/>
    </row>
    <row r="276" ht="15.75" customHeight="1">
      <c r="D276" s="17"/>
    </row>
    <row r="277" ht="15.75" customHeight="1">
      <c r="D277" s="17"/>
    </row>
    <row r="278" ht="15.75" customHeight="1">
      <c r="D278" s="17"/>
    </row>
    <row r="279" ht="15.75" customHeight="1">
      <c r="D279" s="17"/>
    </row>
    <row r="280" ht="15.75" customHeight="1">
      <c r="D280" s="17"/>
    </row>
    <row r="281" ht="15.75" customHeight="1">
      <c r="D281" s="17"/>
    </row>
    <row r="282" ht="15.75" customHeight="1">
      <c r="D282" s="17"/>
    </row>
    <row r="283" ht="15.75" customHeight="1">
      <c r="D283" s="17"/>
    </row>
    <row r="284" ht="15.75" customHeight="1">
      <c r="D284" s="17"/>
    </row>
    <row r="285" ht="15.75" customHeight="1">
      <c r="D285" s="17"/>
    </row>
    <row r="286" ht="15.75" customHeight="1">
      <c r="D286" s="17"/>
    </row>
    <row r="287" ht="15.75" customHeight="1">
      <c r="D287" s="17"/>
    </row>
    <row r="288" ht="15.75" customHeight="1">
      <c r="D288" s="17"/>
    </row>
    <row r="289" ht="15.75" customHeight="1">
      <c r="D289" s="17"/>
    </row>
    <row r="290" ht="15.75" customHeight="1">
      <c r="D290" s="17"/>
    </row>
    <row r="291" ht="15.75" customHeight="1">
      <c r="D291" s="17"/>
    </row>
    <row r="292" ht="15.75" customHeight="1">
      <c r="D292" s="17"/>
    </row>
    <row r="293" ht="15.75" customHeight="1">
      <c r="D293" s="17"/>
    </row>
    <row r="294" ht="15.75" customHeight="1">
      <c r="D294" s="17"/>
    </row>
    <row r="295" ht="15.75" customHeight="1">
      <c r="D295" s="17"/>
    </row>
    <row r="296" ht="15.75" customHeight="1">
      <c r="D296" s="17"/>
    </row>
    <row r="297" ht="15.75" customHeight="1">
      <c r="D297" s="17"/>
    </row>
    <row r="298" ht="15.75" customHeight="1">
      <c r="D298" s="17"/>
    </row>
    <row r="299" ht="15.75" customHeight="1">
      <c r="D299" s="17"/>
    </row>
    <row r="300" ht="15.75" customHeight="1">
      <c r="D300" s="17"/>
    </row>
    <row r="301" ht="15.75" customHeight="1">
      <c r="D301" s="17"/>
    </row>
    <row r="302" ht="15.75" customHeight="1">
      <c r="D302" s="17"/>
    </row>
    <row r="303" ht="15.75" customHeight="1">
      <c r="D303" s="17"/>
    </row>
    <row r="304" ht="15.75" customHeight="1">
      <c r="D304" s="17"/>
    </row>
    <row r="305" ht="15.75" customHeight="1">
      <c r="D305" s="17"/>
    </row>
    <row r="306" ht="15.75" customHeight="1">
      <c r="D306" s="17"/>
    </row>
    <row r="307" ht="15.75" customHeight="1">
      <c r="D307" s="17"/>
    </row>
    <row r="308" ht="15.75" customHeight="1">
      <c r="D308" s="17"/>
    </row>
    <row r="309" ht="15.75" customHeight="1">
      <c r="D309" s="17"/>
    </row>
    <row r="310" ht="15.75" customHeight="1">
      <c r="D310" s="17"/>
    </row>
    <row r="311" ht="15.75" customHeight="1">
      <c r="D311" s="17"/>
    </row>
    <row r="312" ht="15.75" customHeight="1">
      <c r="D312" s="17"/>
    </row>
    <row r="313" ht="15.75" customHeight="1">
      <c r="D313" s="17"/>
    </row>
    <row r="314" ht="15.75" customHeight="1">
      <c r="D314" s="17"/>
    </row>
    <row r="315" ht="15.75" customHeight="1">
      <c r="D315" s="17"/>
    </row>
    <row r="316" ht="15.75" customHeight="1">
      <c r="D316" s="17"/>
    </row>
    <row r="317" ht="15.75" customHeight="1">
      <c r="D317" s="17"/>
    </row>
    <row r="318" ht="15.75" customHeight="1">
      <c r="D318" s="17"/>
    </row>
    <row r="319" ht="15.75" customHeight="1">
      <c r="D319" s="17"/>
    </row>
    <row r="320" ht="15.75" customHeight="1">
      <c r="D320" s="17"/>
    </row>
    <row r="321" ht="15.75" customHeight="1">
      <c r="D321" s="17"/>
    </row>
    <row r="322" ht="15.75" customHeight="1">
      <c r="D322" s="17"/>
    </row>
    <row r="323" ht="15.75" customHeight="1">
      <c r="D323" s="17"/>
    </row>
    <row r="324" ht="15.75" customHeight="1">
      <c r="D324" s="17"/>
    </row>
    <row r="325" ht="15.75" customHeight="1">
      <c r="D325" s="17"/>
    </row>
    <row r="326" ht="15.75" customHeight="1">
      <c r="D326" s="17"/>
    </row>
    <row r="327" ht="15.75" customHeight="1">
      <c r="D327" s="17"/>
    </row>
    <row r="328" ht="15.75" customHeight="1">
      <c r="D328" s="17"/>
    </row>
    <row r="329" ht="15.75" customHeight="1">
      <c r="D329" s="17"/>
    </row>
    <row r="330" ht="15.75" customHeight="1">
      <c r="D330" s="17"/>
    </row>
    <row r="331" ht="15.75" customHeight="1">
      <c r="D331" s="17"/>
    </row>
    <row r="332" ht="15.75" customHeight="1">
      <c r="D332" s="17"/>
    </row>
    <row r="333" ht="15.75" customHeight="1">
      <c r="D333" s="17"/>
    </row>
    <row r="334" ht="15.75" customHeight="1">
      <c r="D334" s="17"/>
    </row>
    <row r="335" ht="15.75" customHeight="1">
      <c r="D335" s="17"/>
    </row>
    <row r="336" ht="15.75" customHeight="1">
      <c r="D336" s="17"/>
    </row>
    <row r="337" ht="15.75" customHeight="1">
      <c r="D337" s="17"/>
    </row>
    <row r="338" ht="15.75" customHeight="1">
      <c r="D338" s="17"/>
    </row>
    <row r="339" ht="15.75" customHeight="1">
      <c r="D339" s="17"/>
    </row>
    <row r="340" ht="15.75" customHeight="1">
      <c r="D340" s="17"/>
    </row>
    <row r="341" ht="15.75" customHeight="1">
      <c r="D341" s="17"/>
    </row>
    <row r="342" ht="15.75" customHeight="1">
      <c r="D342" s="17"/>
    </row>
    <row r="343" ht="15.75" customHeight="1">
      <c r="D343" s="17"/>
    </row>
    <row r="344" ht="15.75" customHeight="1">
      <c r="D344" s="17"/>
    </row>
    <row r="345" ht="15.75" customHeight="1">
      <c r="D345" s="17"/>
    </row>
    <row r="346" ht="15.75" customHeight="1">
      <c r="D346" s="17"/>
    </row>
    <row r="347" ht="15.75" customHeight="1">
      <c r="D347" s="17"/>
    </row>
    <row r="348" ht="15.75" customHeight="1">
      <c r="D348" s="17"/>
    </row>
    <row r="349" ht="15.75" customHeight="1">
      <c r="D349" s="17"/>
    </row>
    <row r="350" ht="15.75" customHeight="1">
      <c r="D350" s="17"/>
    </row>
    <row r="351" ht="15.75" customHeight="1">
      <c r="D351" s="17"/>
    </row>
    <row r="352" ht="15.75" customHeight="1">
      <c r="D352" s="17"/>
    </row>
    <row r="353" ht="15.75" customHeight="1">
      <c r="D353" s="17"/>
    </row>
    <row r="354" ht="15.75" customHeight="1">
      <c r="D354" s="17"/>
    </row>
    <row r="355" ht="15.75" customHeight="1">
      <c r="D355" s="17"/>
    </row>
    <row r="356" ht="15.75" customHeight="1">
      <c r="D356" s="17"/>
    </row>
    <row r="357" ht="15.75" customHeight="1">
      <c r="D357" s="17"/>
    </row>
    <row r="358" ht="15.75" customHeight="1">
      <c r="D358" s="17"/>
    </row>
    <row r="359" ht="15.75" customHeight="1">
      <c r="D359" s="17"/>
    </row>
    <row r="360" ht="15.75" customHeight="1">
      <c r="D360" s="17"/>
    </row>
    <row r="361" ht="15.75" customHeight="1">
      <c r="D361" s="17"/>
    </row>
    <row r="362" ht="15.75" customHeight="1">
      <c r="D362" s="17"/>
    </row>
    <row r="363" ht="15.75" customHeight="1">
      <c r="D363" s="17"/>
    </row>
    <row r="364" ht="15.75" customHeight="1">
      <c r="D364" s="17"/>
    </row>
    <row r="365" ht="15.75" customHeight="1">
      <c r="D365" s="17"/>
    </row>
    <row r="366" ht="15.75" customHeight="1">
      <c r="D366" s="17"/>
    </row>
    <row r="367" ht="15.75" customHeight="1">
      <c r="D367" s="17"/>
    </row>
    <row r="368" ht="15.75" customHeight="1">
      <c r="D368" s="17"/>
    </row>
    <row r="369" ht="15.75" customHeight="1">
      <c r="D369" s="17"/>
    </row>
    <row r="370" ht="15.75" customHeight="1">
      <c r="D370" s="17"/>
    </row>
    <row r="371" ht="15.75" customHeight="1">
      <c r="D371" s="17"/>
    </row>
    <row r="372" ht="15.75" customHeight="1">
      <c r="D372" s="17"/>
    </row>
    <row r="373" ht="15.75" customHeight="1">
      <c r="D373" s="17"/>
    </row>
    <row r="374" ht="15.75" customHeight="1">
      <c r="D374" s="17"/>
    </row>
    <row r="375" ht="15.75" customHeight="1">
      <c r="D375" s="17"/>
    </row>
    <row r="376" ht="15.75" customHeight="1">
      <c r="D376" s="17"/>
    </row>
    <row r="377" ht="15.75" customHeight="1">
      <c r="D377" s="17"/>
    </row>
    <row r="378" ht="15.75" customHeight="1">
      <c r="D378" s="17"/>
    </row>
    <row r="379" ht="15.75" customHeight="1">
      <c r="D379" s="17"/>
    </row>
    <row r="380" ht="15.75" customHeight="1">
      <c r="D380" s="17"/>
    </row>
    <row r="381" ht="15.75" customHeight="1">
      <c r="D381" s="17"/>
    </row>
    <row r="382" ht="15.75" customHeight="1">
      <c r="D382" s="17"/>
    </row>
    <row r="383" ht="15.75" customHeight="1">
      <c r="D383" s="17"/>
    </row>
    <row r="384" ht="15.75" customHeight="1">
      <c r="D384" s="17"/>
    </row>
    <row r="385" ht="15.75" customHeight="1">
      <c r="D385" s="17"/>
    </row>
    <row r="386" ht="15.75" customHeight="1">
      <c r="D386" s="17"/>
    </row>
    <row r="387" ht="15.75" customHeight="1">
      <c r="D387" s="17"/>
    </row>
    <row r="388" ht="15.75" customHeight="1">
      <c r="D388" s="17"/>
    </row>
    <row r="389" ht="15.75" customHeight="1">
      <c r="D389" s="17"/>
    </row>
    <row r="390" ht="15.75" customHeight="1">
      <c r="D390" s="17"/>
    </row>
    <row r="391" ht="15.75" customHeight="1">
      <c r="D391" s="17"/>
    </row>
    <row r="392" ht="15.75" customHeight="1">
      <c r="D392" s="17"/>
    </row>
    <row r="393" ht="15.75" customHeight="1">
      <c r="D393" s="17"/>
    </row>
    <row r="394" ht="15.75" customHeight="1">
      <c r="D394" s="17"/>
    </row>
    <row r="395" ht="15.75" customHeight="1">
      <c r="D395" s="17"/>
    </row>
    <row r="396" ht="15.75" customHeight="1">
      <c r="D396" s="17"/>
    </row>
    <row r="397" ht="15.75" customHeight="1">
      <c r="D397" s="17"/>
    </row>
    <row r="398" ht="15.75" customHeight="1">
      <c r="D398" s="17"/>
    </row>
    <row r="399" ht="15.75" customHeight="1">
      <c r="D399" s="17"/>
    </row>
    <row r="400" ht="15.75" customHeight="1">
      <c r="D400" s="17"/>
    </row>
    <row r="401" ht="15.75" customHeight="1">
      <c r="D401" s="17"/>
    </row>
    <row r="402" ht="15.75" customHeight="1">
      <c r="D402" s="17"/>
    </row>
    <row r="403" ht="15.75" customHeight="1">
      <c r="D403" s="17"/>
    </row>
    <row r="404" ht="15.75" customHeight="1">
      <c r="D404" s="17"/>
    </row>
    <row r="405" ht="15.75" customHeight="1">
      <c r="D405" s="17"/>
    </row>
    <row r="406" ht="15.75" customHeight="1">
      <c r="D406" s="17"/>
    </row>
    <row r="407" ht="15.75" customHeight="1">
      <c r="D407" s="17"/>
    </row>
    <row r="408" ht="15.75" customHeight="1">
      <c r="D408" s="17"/>
    </row>
    <row r="409" ht="15.75" customHeight="1">
      <c r="D409" s="17"/>
    </row>
    <row r="410" ht="15.75" customHeight="1">
      <c r="D410" s="17"/>
    </row>
    <row r="411" ht="15.75" customHeight="1">
      <c r="D411" s="17"/>
    </row>
    <row r="412" ht="15.75" customHeight="1">
      <c r="D412" s="17"/>
    </row>
    <row r="413" ht="15.75" customHeight="1">
      <c r="D413" s="17"/>
    </row>
    <row r="414" ht="15.75" customHeight="1">
      <c r="D414" s="17"/>
    </row>
    <row r="415" ht="15.75" customHeight="1">
      <c r="D415" s="17"/>
    </row>
    <row r="416" ht="15.75" customHeight="1">
      <c r="D416" s="17"/>
    </row>
    <row r="417" ht="15.75" customHeight="1">
      <c r="D417" s="17"/>
    </row>
    <row r="418" ht="15.75" customHeight="1">
      <c r="D418" s="17"/>
    </row>
    <row r="419" ht="15.75" customHeight="1">
      <c r="D419" s="17"/>
    </row>
    <row r="420" ht="15.75" customHeight="1">
      <c r="D420" s="17"/>
    </row>
    <row r="421" ht="15.75" customHeight="1">
      <c r="D421" s="17"/>
    </row>
    <row r="422" ht="15.75" customHeight="1">
      <c r="D422" s="17"/>
    </row>
    <row r="423" ht="15.75" customHeight="1">
      <c r="D423" s="17"/>
    </row>
    <row r="424" ht="15.75" customHeight="1">
      <c r="D424" s="17"/>
    </row>
    <row r="425" ht="15.75" customHeight="1">
      <c r="D425" s="17"/>
    </row>
    <row r="426" ht="15.75" customHeight="1">
      <c r="D426" s="17"/>
    </row>
    <row r="427" ht="15.75" customHeight="1">
      <c r="D427" s="17"/>
    </row>
    <row r="428" ht="15.75" customHeight="1">
      <c r="D428" s="17"/>
    </row>
    <row r="429" ht="15.75" customHeight="1">
      <c r="D429" s="17"/>
    </row>
    <row r="430" ht="15.75" customHeight="1">
      <c r="D430" s="17"/>
    </row>
    <row r="431" ht="15.75" customHeight="1">
      <c r="D431" s="17"/>
    </row>
    <row r="432" ht="15.75" customHeight="1">
      <c r="D432" s="17"/>
    </row>
    <row r="433" ht="15.75" customHeight="1">
      <c r="D433" s="17"/>
    </row>
    <row r="434" ht="15.75" customHeight="1">
      <c r="D434" s="17"/>
    </row>
    <row r="435" ht="15.75" customHeight="1">
      <c r="D435" s="17"/>
    </row>
    <row r="436" ht="15.75" customHeight="1">
      <c r="D436" s="17"/>
    </row>
    <row r="437" ht="15.75" customHeight="1">
      <c r="D437" s="17"/>
    </row>
    <row r="438" ht="15.75" customHeight="1">
      <c r="D438" s="17"/>
    </row>
    <row r="439" ht="15.75" customHeight="1">
      <c r="D439" s="17"/>
    </row>
    <row r="440" ht="15.75" customHeight="1">
      <c r="D440" s="17"/>
    </row>
    <row r="441" ht="15.75" customHeight="1">
      <c r="D441" s="17"/>
    </row>
    <row r="442" ht="15.75" customHeight="1">
      <c r="D442" s="17"/>
    </row>
    <row r="443" ht="15.75" customHeight="1">
      <c r="D443" s="17"/>
    </row>
    <row r="444" ht="15.75" customHeight="1">
      <c r="D444" s="17"/>
    </row>
    <row r="445" ht="15.75" customHeight="1">
      <c r="D445" s="17"/>
    </row>
    <row r="446" ht="15.75" customHeight="1">
      <c r="D446" s="17"/>
    </row>
    <row r="447" ht="15.75" customHeight="1">
      <c r="D447" s="17"/>
    </row>
    <row r="448" ht="15.75" customHeight="1">
      <c r="D448" s="17"/>
    </row>
    <row r="449" ht="15.75" customHeight="1">
      <c r="D449" s="17"/>
    </row>
    <row r="450" ht="15.75" customHeight="1">
      <c r="D450" s="17"/>
    </row>
    <row r="451" ht="15.75" customHeight="1">
      <c r="D451" s="17"/>
    </row>
    <row r="452" ht="15.75" customHeight="1">
      <c r="D452" s="17"/>
    </row>
    <row r="453" ht="15.75" customHeight="1">
      <c r="D453" s="17"/>
    </row>
    <row r="454" ht="15.75" customHeight="1">
      <c r="D454" s="17"/>
    </row>
    <row r="455" ht="15.75" customHeight="1">
      <c r="D455" s="17"/>
    </row>
    <row r="456" ht="15.75" customHeight="1">
      <c r="D456" s="17"/>
    </row>
    <row r="457" ht="15.75" customHeight="1">
      <c r="D457" s="17"/>
    </row>
    <row r="458" ht="15.75" customHeight="1">
      <c r="D458" s="17"/>
    </row>
    <row r="459" ht="15.75" customHeight="1">
      <c r="D459" s="17"/>
    </row>
    <row r="460" ht="15.75" customHeight="1">
      <c r="D460" s="17"/>
    </row>
    <row r="461" ht="15.75" customHeight="1">
      <c r="D461" s="17"/>
    </row>
    <row r="462" ht="15.75" customHeight="1">
      <c r="D462" s="17"/>
    </row>
    <row r="463" ht="15.75" customHeight="1">
      <c r="D463" s="17"/>
    </row>
    <row r="464" ht="15.75" customHeight="1">
      <c r="D464" s="17"/>
    </row>
    <row r="465" ht="15.75" customHeight="1">
      <c r="D465" s="17"/>
    </row>
    <row r="466" ht="15.75" customHeight="1">
      <c r="D466" s="17"/>
    </row>
    <row r="467" ht="15.75" customHeight="1">
      <c r="D467" s="17"/>
    </row>
    <row r="468" ht="15.75" customHeight="1">
      <c r="D468" s="17"/>
    </row>
    <row r="469" ht="15.75" customHeight="1">
      <c r="D469" s="17"/>
    </row>
    <row r="470" ht="15.75" customHeight="1">
      <c r="D470" s="17"/>
    </row>
    <row r="471" ht="15.75" customHeight="1">
      <c r="D471" s="17"/>
    </row>
    <row r="472" ht="15.75" customHeight="1">
      <c r="D472" s="17"/>
    </row>
    <row r="473" ht="15.75" customHeight="1">
      <c r="D473" s="17"/>
    </row>
    <row r="474" ht="15.75" customHeight="1">
      <c r="D474" s="17"/>
    </row>
    <row r="475" ht="15.75" customHeight="1">
      <c r="D475" s="17"/>
    </row>
    <row r="476" ht="15.75" customHeight="1">
      <c r="D476" s="17"/>
    </row>
    <row r="477" ht="15.75" customHeight="1">
      <c r="D477" s="17"/>
    </row>
    <row r="478" ht="15.75" customHeight="1">
      <c r="D478" s="17"/>
    </row>
    <row r="479" ht="15.75" customHeight="1">
      <c r="D479" s="17"/>
    </row>
    <row r="480" ht="15.75" customHeight="1">
      <c r="D480" s="17"/>
    </row>
    <row r="481" ht="15.75" customHeight="1">
      <c r="D481" s="17"/>
    </row>
    <row r="482" ht="15.75" customHeight="1">
      <c r="D482" s="17"/>
    </row>
    <row r="483" ht="15.75" customHeight="1">
      <c r="D483" s="17"/>
    </row>
    <row r="484" ht="15.75" customHeight="1">
      <c r="D484" s="17"/>
    </row>
    <row r="485" ht="15.75" customHeight="1">
      <c r="D485" s="17"/>
    </row>
    <row r="486" ht="15.75" customHeight="1">
      <c r="D486" s="17"/>
    </row>
    <row r="487" ht="15.75" customHeight="1">
      <c r="D487" s="17"/>
    </row>
    <row r="488" ht="15.75" customHeight="1">
      <c r="D488" s="17"/>
    </row>
    <row r="489" ht="15.75" customHeight="1">
      <c r="D489" s="17"/>
    </row>
    <row r="490" ht="15.75" customHeight="1">
      <c r="D490" s="17"/>
    </row>
    <row r="491" ht="15.75" customHeight="1">
      <c r="D491" s="17"/>
    </row>
    <row r="492" ht="15.75" customHeight="1">
      <c r="D492" s="17"/>
    </row>
    <row r="493" ht="15.75" customHeight="1">
      <c r="D493" s="17"/>
    </row>
    <row r="494" ht="15.75" customHeight="1">
      <c r="D494" s="17"/>
    </row>
    <row r="495" ht="15.75" customHeight="1">
      <c r="D495" s="17"/>
    </row>
    <row r="496" ht="15.75" customHeight="1">
      <c r="D496" s="17"/>
    </row>
    <row r="497" ht="15.75" customHeight="1">
      <c r="D497" s="17"/>
    </row>
    <row r="498" ht="15.75" customHeight="1">
      <c r="D498" s="17"/>
    </row>
    <row r="499" ht="15.75" customHeight="1">
      <c r="D499" s="17"/>
    </row>
    <row r="500" ht="15.75" customHeight="1">
      <c r="D500" s="17"/>
    </row>
    <row r="501" ht="15.75" customHeight="1">
      <c r="D501" s="17"/>
    </row>
    <row r="502" ht="15.75" customHeight="1">
      <c r="D502" s="17"/>
    </row>
    <row r="503" ht="15.75" customHeight="1">
      <c r="D503" s="17"/>
    </row>
    <row r="504" ht="15.75" customHeight="1">
      <c r="D504" s="17"/>
    </row>
    <row r="505" ht="15.75" customHeight="1">
      <c r="D505" s="17"/>
    </row>
    <row r="506" ht="15.75" customHeight="1">
      <c r="D506" s="17"/>
    </row>
    <row r="507" ht="15.75" customHeight="1">
      <c r="D507" s="17"/>
    </row>
    <row r="508" ht="15.75" customHeight="1">
      <c r="D508" s="17"/>
    </row>
    <row r="509" ht="15.75" customHeight="1">
      <c r="D509" s="17"/>
    </row>
    <row r="510" ht="15.75" customHeight="1">
      <c r="D510" s="17"/>
    </row>
    <row r="511" ht="15.75" customHeight="1">
      <c r="D511" s="17"/>
    </row>
    <row r="512" ht="15.75" customHeight="1">
      <c r="D512" s="17"/>
    </row>
    <row r="513" ht="15.75" customHeight="1">
      <c r="D513" s="17"/>
    </row>
    <row r="514" ht="15.75" customHeight="1">
      <c r="D514" s="17"/>
    </row>
    <row r="515" ht="15.75" customHeight="1">
      <c r="D515" s="17"/>
    </row>
    <row r="516" ht="15.75" customHeight="1">
      <c r="D516" s="17"/>
    </row>
    <row r="517" ht="15.75" customHeight="1">
      <c r="D517" s="17"/>
    </row>
    <row r="518" ht="15.75" customHeight="1">
      <c r="D518" s="17"/>
    </row>
    <row r="519" ht="15.75" customHeight="1">
      <c r="D519" s="17"/>
    </row>
    <row r="520" ht="15.75" customHeight="1">
      <c r="D520" s="17"/>
    </row>
    <row r="521" ht="15.75" customHeight="1">
      <c r="D521" s="17"/>
    </row>
    <row r="522" ht="15.75" customHeight="1">
      <c r="D522" s="17"/>
    </row>
    <row r="523" ht="15.75" customHeight="1">
      <c r="D523" s="17"/>
    </row>
    <row r="524" ht="15.75" customHeight="1">
      <c r="D524" s="17"/>
    </row>
    <row r="525" ht="15.75" customHeight="1">
      <c r="D525" s="17"/>
    </row>
    <row r="526" ht="15.75" customHeight="1">
      <c r="D526" s="17"/>
    </row>
    <row r="527" ht="15.75" customHeight="1">
      <c r="D527" s="17"/>
    </row>
    <row r="528" ht="15.75" customHeight="1">
      <c r="D528" s="17"/>
    </row>
    <row r="529" ht="15.75" customHeight="1">
      <c r="D529" s="17"/>
    </row>
    <row r="530" ht="15.75" customHeight="1">
      <c r="D530" s="17"/>
    </row>
    <row r="531" ht="15.75" customHeight="1">
      <c r="D531" s="17"/>
    </row>
    <row r="532" ht="15.75" customHeight="1">
      <c r="D532" s="17"/>
    </row>
    <row r="533" ht="15.75" customHeight="1">
      <c r="D533" s="17"/>
    </row>
    <row r="534" ht="15.75" customHeight="1">
      <c r="D534" s="17"/>
    </row>
    <row r="535" ht="15.75" customHeight="1">
      <c r="D535" s="17"/>
    </row>
    <row r="536" ht="15.75" customHeight="1">
      <c r="D536" s="17"/>
    </row>
    <row r="537" ht="15.75" customHeight="1">
      <c r="D537" s="17"/>
    </row>
    <row r="538" ht="15.75" customHeight="1">
      <c r="D538" s="17"/>
    </row>
    <row r="539" ht="15.75" customHeight="1">
      <c r="D539" s="17"/>
    </row>
    <row r="540" ht="15.75" customHeight="1">
      <c r="D540" s="17"/>
    </row>
    <row r="541" ht="15.75" customHeight="1">
      <c r="D541" s="17"/>
    </row>
    <row r="542" ht="15.75" customHeight="1">
      <c r="D542" s="17"/>
    </row>
    <row r="543" ht="15.75" customHeight="1">
      <c r="D543" s="17"/>
    </row>
    <row r="544" ht="15.75" customHeight="1">
      <c r="D544" s="17"/>
    </row>
    <row r="545" ht="15.75" customHeight="1">
      <c r="D545" s="17"/>
    </row>
    <row r="546" ht="15.75" customHeight="1">
      <c r="D546" s="17"/>
    </row>
    <row r="547" ht="15.75" customHeight="1">
      <c r="D547" s="17"/>
    </row>
    <row r="548" ht="15.75" customHeight="1">
      <c r="D548" s="17"/>
    </row>
    <row r="549" ht="15.75" customHeight="1">
      <c r="D549" s="17"/>
    </row>
    <row r="550" ht="15.75" customHeight="1">
      <c r="D550" s="17"/>
    </row>
    <row r="551" ht="15.75" customHeight="1">
      <c r="D551" s="17"/>
    </row>
    <row r="552" ht="15.75" customHeight="1">
      <c r="D552" s="17"/>
    </row>
    <row r="553" ht="15.75" customHeight="1">
      <c r="D553" s="17"/>
    </row>
    <row r="554" ht="15.75" customHeight="1">
      <c r="D554" s="17"/>
    </row>
    <row r="555" ht="15.75" customHeight="1">
      <c r="D555" s="17"/>
    </row>
    <row r="556" ht="15.75" customHeight="1">
      <c r="D556" s="17"/>
    </row>
    <row r="557" ht="15.75" customHeight="1">
      <c r="D557" s="17"/>
    </row>
    <row r="558" ht="15.75" customHeight="1">
      <c r="D558" s="17"/>
    </row>
    <row r="559" ht="15.75" customHeight="1">
      <c r="D559" s="17"/>
    </row>
    <row r="560" ht="15.75" customHeight="1">
      <c r="D560" s="17"/>
    </row>
    <row r="561" ht="15.75" customHeight="1">
      <c r="D561" s="17"/>
    </row>
    <row r="562" ht="15.75" customHeight="1">
      <c r="D562" s="17"/>
    </row>
    <row r="563" ht="15.75" customHeight="1">
      <c r="D563" s="17"/>
    </row>
    <row r="564" ht="15.75" customHeight="1">
      <c r="D564" s="17"/>
    </row>
    <row r="565" ht="15.75" customHeight="1">
      <c r="D565" s="17"/>
    </row>
    <row r="566" ht="15.75" customHeight="1">
      <c r="D566" s="17"/>
    </row>
    <row r="567" ht="15.75" customHeight="1">
      <c r="D567" s="17"/>
    </row>
    <row r="568" ht="15.75" customHeight="1">
      <c r="D568" s="17"/>
    </row>
    <row r="569" ht="15.75" customHeight="1">
      <c r="D569" s="17"/>
    </row>
    <row r="570" ht="15.75" customHeight="1">
      <c r="D570" s="17"/>
    </row>
    <row r="571" ht="15.75" customHeight="1">
      <c r="D571" s="17"/>
    </row>
    <row r="572" ht="15.75" customHeight="1">
      <c r="D572" s="17"/>
    </row>
    <row r="573" ht="15.75" customHeight="1">
      <c r="D573" s="17"/>
    </row>
    <row r="574" ht="15.75" customHeight="1">
      <c r="D574" s="17"/>
    </row>
    <row r="575" ht="15.75" customHeight="1">
      <c r="D575" s="17"/>
    </row>
    <row r="576" ht="15.75" customHeight="1">
      <c r="D576" s="17"/>
    </row>
    <row r="577" ht="15.75" customHeight="1">
      <c r="D577" s="17"/>
    </row>
    <row r="578" ht="15.75" customHeight="1">
      <c r="D578" s="17"/>
    </row>
    <row r="579" ht="15.75" customHeight="1">
      <c r="D579" s="17"/>
    </row>
    <row r="580" ht="15.75" customHeight="1">
      <c r="D580" s="17"/>
    </row>
    <row r="581" ht="15.75" customHeight="1">
      <c r="D581" s="17"/>
    </row>
    <row r="582" ht="15.75" customHeight="1">
      <c r="D582" s="17"/>
    </row>
    <row r="583" ht="15.75" customHeight="1">
      <c r="D583" s="17"/>
    </row>
    <row r="584" ht="15.75" customHeight="1">
      <c r="D584" s="17"/>
    </row>
    <row r="585" ht="15.75" customHeight="1">
      <c r="D585" s="17"/>
    </row>
    <row r="586" ht="15.75" customHeight="1">
      <c r="D586" s="17"/>
    </row>
    <row r="587" ht="15.75" customHeight="1">
      <c r="D587" s="17"/>
    </row>
    <row r="588" ht="15.75" customHeight="1">
      <c r="D588" s="17"/>
    </row>
    <row r="589" ht="15.75" customHeight="1">
      <c r="D589" s="17"/>
    </row>
    <row r="590" ht="15.75" customHeight="1">
      <c r="D590" s="17"/>
    </row>
    <row r="591" ht="15.75" customHeight="1">
      <c r="D591" s="17"/>
    </row>
    <row r="592" ht="15.75" customHeight="1">
      <c r="D592" s="17"/>
    </row>
    <row r="593" ht="15.75" customHeight="1">
      <c r="D593" s="17"/>
    </row>
    <row r="594" ht="15.75" customHeight="1">
      <c r="D594" s="17"/>
    </row>
    <row r="595" ht="15.75" customHeight="1">
      <c r="D595" s="17"/>
    </row>
    <row r="596" ht="15.75" customHeight="1">
      <c r="D596" s="17"/>
    </row>
    <row r="597" ht="15.75" customHeight="1">
      <c r="D597" s="17"/>
    </row>
    <row r="598" ht="15.75" customHeight="1">
      <c r="D598" s="17"/>
    </row>
    <row r="599" ht="15.75" customHeight="1">
      <c r="D599" s="17"/>
    </row>
    <row r="600" ht="15.75" customHeight="1">
      <c r="D600" s="17"/>
    </row>
    <row r="601" ht="15.75" customHeight="1">
      <c r="D601" s="17"/>
    </row>
    <row r="602" ht="15.75" customHeight="1">
      <c r="D602" s="17"/>
    </row>
    <row r="603" ht="15.75" customHeight="1">
      <c r="D603" s="17"/>
    </row>
    <row r="604" ht="15.75" customHeight="1">
      <c r="D604" s="17"/>
    </row>
    <row r="605" ht="15.75" customHeight="1">
      <c r="D605" s="17"/>
    </row>
    <row r="606" ht="15.75" customHeight="1">
      <c r="D606" s="17"/>
    </row>
    <row r="607" ht="15.75" customHeight="1">
      <c r="D607" s="17"/>
    </row>
    <row r="608" ht="15.75" customHeight="1">
      <c r="D608" s="17"/>
    </row>
    <row r="609" ht="15.75" customHeight="1">
      <c r="D609" s="17"/>
    </row>
    <row r="610" ht="15.75" customHeight="1">
      <c r="D610" s="17"/>
    </row>
    <row r="611" ht="15.75" customHeight="1">
      <c r="D611" s="17"/>
    </row>
    <row r="612" ht="15.75" customHeight="1">
      <c r="D612" s="17"/>
    </row>
    <row r="613" ht="15.75" customHeight="1">
      <c r="D613" s="17"/>
    </row>
    <row r="614" ht="15.75" customHeight="1">
      <c r="D614" s="17"/>
    </row>
    <row r="615" ht="15.75" customHeight="1">
      <c r="D615" s="17"/>
    </row>
    <row r="616" ht="15.75" customHeight="1">
      <c r="D616" s="17"/>
    </row>
    <row r="617" ht="15.75" customHeight="1">
      <c r="D617" s="17"/>
    </row>
    <row r="618" ht="15.75" customHeight="1">
      <c r="D618" s="17"/>
    </row>
    <row r="619" ht="15.75" customHeight="1">
      <c r="D619" s="17"/>
    </row>
    <row r="620" ht="15.75" customHeight="1">
      <c r="D620" s="17"/>
    </row>
    <row r="621" ht="15.75" customHeight="1">
      <c r="D621" s="17"/>
    </row>
    <row r="622" ht="15.75" customHeight="1">
      <c r="D622" s="17"/>
    </row>
    <row r="623" ht="15.75" customHeight="1">
      <c r="D623" s="17"/>
    </row>
    <row r="624" ht="15.75" customHeight="1">
      <c r="D624" s="17"/>
    </row>
    <row r="625" ht="15.75" customHeight="1">
      <c r="D625" s="17"/>
    </row>
    <row r="626" ht="15.75" customHeight="1">
      <c r="D626" s="17"/>
    </row>
    <row r="627" ht="15.75" customHeight="1">
      <c r="D627" s="17"/>
    </row>
    <row r="628" ht="15.75" customHeight="1">
      <c r="D628" s="17"/>
    </row>
    <row r="629" ht="15.75" customHeight="1">
      <c r="D629" s="17"/>
    </row>
    <row r="630" ht="15.75" customHeight="1">
      <c r="D630" s="17"/>
    </row>
    <row r="631" ht="15.75" customHeight="1">
      <c r="D631" s="17"/>
    </row>
    <row r="632" ht="15.75" customHeight="1">
      <c r="D632" s="17"/>
    </row>
    <row r="633" ht="15.75" customHeight="1">
      <c r="D633" s="17"/>
    </row>
    <row r="634" ht="15.75" customHeight="1">
      <c r="D634" s="17"/>
    </row>
    <row r="635" ht="15.75" customHeight="1">
      <c r="D635" s="17"/>
    </row>
    <row r="636" ht="15.75" customHeight="1">
      <c r="D636" s="17"/>
    </row>
    <row r="637" ht="15.75" customHeight="1">
      <c r="D637" s="17"/>
    </row>
    <row r="638" ht="15.75" customHeight="1">
      <c r="D638" s="17"/>
    </row>
    <row r="639" ht="15.75" customHeight="1">
      <c r="D639" s="17"/>
    </row>
    <row r="640" ht="15.75" customHeight="1">
      <c r="D640" s="17"/>
    </row>
    <row r="641" ht="15.75" customHeight="1">
      <c r="D641" s="17"/>
    </row>
    <row r="642" ht="15.75" customHeight="1">
      <c r="D642" s="17"/>
    </row>
    <row r="643" ht="15.75" customHeight="1">
      <c r="D643" s="17"/>
    </row>
    <row r="644" ht="15.75" customHeight="1">
      <c r="D644" s="17"/>
    </row>
    <row r="645" ht="15.75" customHeight="1">
      <c r="D645" s="17"/>
    </row>
    <row r="646" ht="15.75" customHeight="1">
      <c r="D646" s="17"/>
    </row>
    <row r="647" ht="15.75" customHeight="1">
      <c r="D647" s="17"/>
    </row>
    <row r="648" ht="15.75" customHeight="1">
      <c r="D648" s="17"/>
    </row>
    <row r="649" ht="15.75" customHeight="1">
      <c r="D649" s="17"/>
    </row>
    <row r="650" ht="15.75" customHeight="1">
      <c r="D650" s="17"/>
    </row>
    <row r="651" ht="15.75" customHeight="1">
      <c r="D651" s="17"/>
    </row>
    <row r="652" ht="15.75" customHeight="1">
      <c r="D652" s="17"/>
    </row>
    <row r="653" ht="15.75" customHeight="1">
      <c r="D653" s="17"/>
    </row>
    <row r="654" ht="15.75" customHeight="1">
      <c r="D654" s="17"/>
    </row>
    <row r="655" ht="15.75" customHeight="1">
      <c r="D655" s="17"/>
    </row>
    <row r="656" ht="15.75" customHeight="1">
      <c r="D656" s="17"/>
    </row>
    <row r="657" ht="15.75" customHeight="1">
      <c r="D657" s="17"/>
    </row>
    <row r="658" ht="15.75" customHeight="1">
      <c r="D658" s="17"/>
    </row>
    <row r="659" ht="15.75" customHeight="1">
      <c r="D659" s="17"/>
    </row>
    <row r="660" ht="15.75" customHeight="1">
      <c r="D660" s="17"/>
    </row>
    <row r="661" ht="15.75" customHeight="1">
      <c r="D661" s="17"/>
    </row>
    <row r="662" ht="15.75" customHeight="1">
      <c r="D662" s="17"/>
    </row>
    <row r="663" ht="15.75" customHeight="1">
      <c r="D663" s="17"/>
    </row>
    <row r="664" ht="15.75" customHeight="1">
      <c r="D664" s="17"/>
    </row>
    <row r="665" ht="15.75" customHeight="1">
      <c r="D665" s="17"/>
    </row>
    <row r="666" ht="15.75" customHeight="1">
      <c r="D666" s="17"/>
    </row>
    <row r="667" ht="15.75" customHeight="1">
      <c r="D667" s="17"/>
    </row>
    <row r="668" ht="15.75" customHeight="1">
      <c r="D668" s="17"/>
    </row>
    <row r="669" ht="15.75" customHeight="1">
      <c r="D669" s="17"/>
    </row>
    <row r="670" ht="15.75" customHeight="1">
      <c r="D670" s="17"/>
    </row>
    <row r="671" ht="15.75" customHeight="1">
      <c r="D671" s="17"/>
    </row>
    <row r="672" ht="15.75" customHeight="1">
      <c r="D672" s="17"/>
    </row>
    <row r="673" ht="15.75" customHeight="1">
      <c r="D673" s="17"/>
    </row>
    <row r="674" ht="15.75" customHeight="1">
      <c r="D674" s="17"/>
    </row>
    <row r="675" ht="15.75" customHeight="1">
      <c r="D675" s="17"/>
    </row>
    <row r="676" ht="15.75" customHeight="1">
      <c r="D676" s="17"/>
    </row>
    <row r="677" ht="15.75" customHeight="1">
      <c r="D677" s="17"/>
    </row>
    <row r="678" ht="15.75" customHeight="1">
      <c r="D678" s="17"/>
    </row>
    <row r="679" ht="15.75" customHeight="1">
      <c r="D679" s="17"/>
    </row>
    <row r="680" ht="15.75" customHeight="1">
      <c r="D680" s="17"/>
    </row>
    <row r="681" ht="15.75" customHeight="1">
      <c r="D681" s="17"/>
    </row>
    <row r="682" ht="15.75" customHeight="1">
      <c r="D682" s="17"/>
    </row>
    <row r="683" ht="15.75" customHeight="1">
      <c r="D683" s="17"/>
    </row>
    <row r="684" ht="15.75" customHeight="1">
      <c r="D684" s="17"/>
    </row>
    <row r="685" ht="15.75" customHeight="1">
      <c r="D685" s="17"/>
    </row>
    <row r="686" ht="15.75" customHeight="1">
      <c r="D686" s="17"/>
    </row>
    <row r="687" ht="15.75" customHeight="1">
      <c r="D687" s="17"/>
    </row>
    <row r="688" ht="15.75" customHeight="1">
      <c r="D688" s="17"/>
    </row>
    <row r="689" ht="15.75" customHeight="1">
      <c r="D689" s="17"/>
    </row>
    <row r="690" ht="15.75" customHeight="1">
      <c r="D690" s="17"/>
    </row>
    <row r="691" ht="15.75" customHeight="1">
      <c r="D691" s="17"/>
    </row>
    <row r="692" ht="15.75" customHeight="1">
      <c r="D692" s="17"/>
    </row>
    <row r="693" ht="15.75" customHeight="1">
      <c r="D693" s="17"/>
    </row>
    <row r="694" ht="15.75" customHeight="1">
      <c r="D694" s="17"/>
    </row>
    <row r="695" ht="15.75" customHeight="1">
      <c r="D695" s="17"/>
    </row>
    <row r="696" ht="15.75" customHeight="1">
      <c r="D696" s="17"/>
    </row>
    <row r="697" ht="15.75" customHeight="1">
      <c r="D697" s="17"/>
    </row>
    <row r="698" ht="15.75" customHeight="1">
      <c r="D698" s="17"/>
    </row>
    <row r="699" ht="15.75" customHeight="1">
      <c r="D699" s="17"/>
    </row>
    <row r="700" ht="15.75" customHeight="1">
      <c r="D700" s="17"/>
    </row>
    <row r="701" ht="15.75" customHeight="1">
      <c r="D701" s="17"/>
    </row>
    <row r="702" ht="15.75" customHeight="1">
      <c r="D702" s="17"/>
    </row>
    <row r="703" ht="15.75" customHeight="1">
      <c r="D703" s="17"/>
    </row>
    <row r="704" ht="15.75" customHeight="1">
      <c r="D704" s="17"/>
    </row>
    <row r="705" ht="15.75" customHeight="1">
      <c r="D705" s="17"/>
    </row>
    <row r="706" ht="15.75" customHeight="1">
      <c r="D706" s="17"/>
    </row>
    <row r="707" ht="15.75" customHeight="1">
      <c r="D707" s="17"/>
    </row>
    <row r="708" ht="15.75" customHeight="1">
      <c r="D708" s="17"/>
    </row>
    <row r="709" ht="15.75" customHeight="1">
      <c r="D709" s="17"/>
    </row>
    <row r="710" ht="15.75" customHeight="1">
      <c r="D710" s="17"/>
    </row>
    <row r="711" ht="15.75" customHeight="1">
      <c r="D711" s="17"/>
    </row>
    <row r="712" ht="15.75" customHeight="1">
      <c r="D712" s="17"/>
    </row>
    <row r="713" ht="15.75" customHeight="1">
      <c r="D713" s="17"/>
    </row>
    <row r="714" ht="15.75" customHeight="1">
      <c r="D714" s="17"/>
    </row>
    <row r="715" ht="15.75" customHeight="1">
      <c r="D715" s="17"/>
    </row>
    <row r="716" ht="15.75" customHeight="1">
      <c r="D716" s="17"/>
    </row>
    <row r="717" ht="15.75" customHeight="1">
      <c r="D717" s="17"/>
    </row>
    <row r="718" ht="15.75" customHeight="1">
      <c r="D718" s="17"/>
    </row>
    <row r="719" ht="15.75" customHeight="1">
      <c r="D719" s="17"/>
    </row>
    <row r="720" ht="15.75" customHeight="1">
      <c r="D720" s="17"/>
    </row>
    <row r="721" ht="15.75" customHeight="1">
      <c r="D721" s="17"/>
    </row>
    <row r="722" ht="15.75" customHeight="1">
      <c r="D722" s="17"/>
    </row>
    <row r="723" ht="15.75" customHeight="1">
      <c r="D723" s="17"/>
    </row>
    <row r="724" ht="15.75" customHeight="1">
      <c r="D724" s="17"/>
    </row>
    <row r="725" ht="15.75" customHeight="1">
      <c r="D725" s="17"/>
    </row>
    <row r="726" ht="15.75" customHeight="1">
      <c r="D726" s="17"/>
    </row>
    <row r="727" ht="15.75" customHeight="1">
      <c r="D727" s="17"/>
    </row>
    <row r="728" ht="15.75" customHeight="1">
      <c r="D728" s="17"/>
    </row>
    <row r="729" ht="15.75" customHeight="1">
      <c r="D729" s="17"/>
    </row>
    <row r="730" ht="15.75" customHeight="1">
      <c r="D730" s="17"/>
    </row>
    <row r="731" ht="15.75" customHeight="1">
      <c r="D731" s="17"/>
    </row>
    <row r="732" ht="15.75" customHeight="1">
      <c r="D732" s="17"/>
    </row>
    <row r="733" ht="15.75" customHeight="1">
      <c r="D733" s="17"/>
    </row>
    <row r="734" ht="15.75" customHeight="1">
      <c r="D734" s="17"/>
    </row>
    <row r="735" ht="15.75" customHeight="1">
      <c r="D735" s="17"/>
    </row>
    <row r="736" ht="15.75" customHeight="1">
      <c r="D736" s="17"/>
    </row>
    <row r="737" ht="15.75" customHeight="1">
      <c r="D737" s="17"/>
    </row>
    <row r="738" ht="15.75" customHeight="1">
      <c r="D738" s="17"/>
    </row>
    <row r="739" ht="15.75" customHeight="1">
      <c r="D739" s="17"/>
    </row>
    <row r="740" ht="15.75" customHeight="1">
      <c r="D740" s="17"/>
    </row>
    <row r="741" ht="15.75" customHeight="1">
      <c r="D741" s="17"/>
    </row>
    <row r="742" ht="15.75" customHeight="1">
      <c r="D742" s="17"/>
    </row>
    <row r="743" ht="15.75" customHeight="1">
      <c r="D743" s="17"/>
    </row>
    <row r="744" ht="15.75" customHeight="1">
      <c r="D744" s="17"/>
    </row>
    <row r="745" ht="15.75" customHeight="1">
      <c r="D745" s="17"/>
    </row>
    <row r="746" ht="15.75" customHeight="1">
      <c r="D746" s="17"/>
    </row>
    <row r="747" ht="15.75" customHeight="1">
      <c r="D747" s="17"/>
    </row>
    <row r="748" ht="15.75" customHeight="1">
      <c r="D748" s="17"/>
    </row>
    <row r="749" ht="15.75" customHeight="1">
      <c r="D749" s="17"/>
    </row>
    <row r="750" ht="15.75" customHeight="1">
      <c r="D750" s="17"/>
    </row>
    <row r="751" ht="15.75" customHeight="1">
      <c r="D751" s="17"/>
    </row>
    <row r="752" ht="15.75" customHeight="1">
      <c r="D752" s="17"/>
    </row>
    <row r="753" ht="15.75" customHeight="1">
      <c r="D753" s="17"/>
    </row>
    <row r="754" ht="15.75" customHeight="1">
      <c r="D754" s="17"/>
    </row>
    <row r="755" ht="15.75" customHeight="1">
      <c r="D755" s="17"/>
    </row>
    <row r="756" ht="15.75" customHeight="1">
      <c r="D756" s="17"/>
    </row>
    <row r="757" ht="15.75" customHeight="1">
      <c r="D757" s="17"/>
    </row>
    <row r="758" ht="15.75" customHeight="1">
      <c r="D758" s="17"/>
    </row>
    <row r="759" ht="15.75" customHeight="1">
      <c r="D759" s="17"/>
    </row>
    <row r="760" ht="15.75" customHeight="1">
      <c r="D760" s="17"/>
    </row>
    <row r="761" ht="15.75" customHeight="1">
      <c r="D761" s="17"/>
    </row>
    <row r="762" ht="15.75" customHeight="1">
      <c r="D762" s="17"/>
    </row>
    <row r="763" ht="15.75" customHeight="1">
      <c r="D763" s="17"/>
    </row>
    <row r="764" ht="15.75" customHeight="1">
      <c r="D764" s="17"/>
    </row>
    <row r="765" ht="15.75" customHeight="1">
      <c r="D765" s="17"/>
    </row>
    <row r="766" ht="15.75" customHeight="1">
      <c r="D766" s="17"/>
    </row>
    <row r="767" ht="15.75" customHeight="1">
      <c r="D767" s="17"/>
    </row>
    <row r="768" ht="15.75" customHeight="1">
      <c r="D768" s="17"/>
    </row>
    <row r="769" ht="15.75" customHeight="1">
      <c r="D769" s="17"/>
    </row>
    <row r="770" ht="15.75" customHeight="1">
      <c r="D770" s="17"/>
    </row>
    <row r="771" ht="15.75" customHeight="1">
      <c r="D771" s="17"/>
    </row>
    <row r="772" ht="15.75" customHeight="1">
      <c r="D772" s="17"/>
    </row>
    <row r="773" ht="15.75" customHeight="1">
      <c r="D773" s="17"/>
    </row>
    <row r="774" ht="15.75" customHeight="1">
      <c r="D774" s="17"/>
    </row>
    <row r="775" ht="15.75" customHeight="1">
      <c r="D775" s="17"/>
    </row>
    <row r="776" ht="15.75" customHeight="1">
      <c r="D776" s="17"/>
    </row>
    <row r="777" ht="15.75" customHeight="1">
      <c r="D777" s="17"/>
    </row>
    <row r="778" ht="15.75" customHeight="1">
      <c r="D778" s="17"/>
    </row>
    <row r="779" ht="15.75" customHeight="1">
      <c r="D779" s="17"/>
    </row>
    <row r="780" ht="15.75" customHeight="1">
      <c r="D780" s="17"/>
    </row>
    <row r="781" ht="15.75" customHeight="1">
      <c r="D781" s="17"/>
    </row>
    <row r="782" ht="15.75" customHeight="1">
      <c r="D782" s="17"/>
    </row>
    <row r="783" ht="15.75" customHeight="1">
      <c r="D783" s="17"/>
    </row>
    <row r="784" ht="15.75" customHeight="1">
      <c r="D784" s="17"/>
    </row>
    <row r="785" ht="15.75" customHeight="1">
      <c r="D785" s="17"/>
    </row>
    <row r="786" ht="15.75" customHeight="1">
      <c r="D786" s="17"/>
    </row>
    <row r="787" ht="15.75" customHeight="1">
      <c r="D787" s="17"/>
    </row>
    <row r="788" ht="15.75" customHeight="1">
      <c r="D788" s="17"/>
    </row>
    <row r="789" ht="15.75" customHeight="1">
      <c r="D789" s="17"/>
    </row>
    <row r="790" ht="15.75" customHeight="1">
      <c r="D790" s="17"/>
    </row>
    <row r="791" ht="15.75" customHeight="1">
      <c r="D791" s="17"/>
    </row>
    <row r="792" ht="15.75" customHeight="1">
      <c r="D792" s="17"/>
    </row>
    <row r="793" ht="15.75" customHeight="1">
      <c r="D793" s="17"/>
    </row>
    <row r="794" ht="15.75" customHeight="1">
      <c r="D794" s="17"/>
    </row>
    <row r="795" ht="15.75" customHeight="1">
      <c r="D795" s="17"/>
    </row>
    <row r="796" ht="15.75" customHeight="1">
      <c r="D796" s="17"/>
    </row>
    <row r="797" ht="15.75" customHeight="1">
      <c r="D797" s="17"/>
    </row>
    <row r="798" ht="15.75" customHeight="1">
      <c r="D798" s="17"/>
    </row>
    <row r="799" ht="15.75" customHeight="1">
      <c r="D799" s="17"/>
    </row>
    <row r="800" ht="15.75" customHeight="1">
      <c r="D800" s="17"/>
    </row>
    <row r="801" ht="15.75" customHeight="1">
      <c r="D801" s="17"/>
    </row>
    <row r="802" ht="15.75" customHeight="1">
      <c r="D802" s="17"/>
    </row>
    <row r="803" ht="15.75" customHeight="1">
      <c r="D803" s="17"/>
    </row>
    <row r="804" ht="15.75" customHeight="1">
      <c r="D804" s="17"/>
    </row>
    <row r="805" ht="15.75" customHeight="1">
      <c r="D805" s="17"/>
    </row>
    <row r="806" ht="15.75" customHeight="1">
      <c r="D806" s="17"/>
    </row>
    <row r="807" ht="15.75" customHeight="1">
      <c r="D807" s="17"/>
    </row>
    <row r="808" ht="15.75" customHeight="1">
      <c r="D808" s="17"/>
    </row>
    <row r="809" ht="15.75" customHeight="1">
      <c r="D809" s="17"/>
    </row>
    <row r="810" ht="15.75" customHeight="1">
      <c r="D810" s="17"/>
    </row>
    <row r="811" ht="15.75" customHeight="1">
      <c r="D811" s="17"/>
    </row>
    <row r="812" ht="15.75" customHeight="1">
      <c r="D812" s="17"/>
    </row>
    <row r="813" ht="15.75" customHeight="1">
      <c r="D813" s="17"/>
    </row>
    <row r="814" ht="15.75" customHeight="1">
      <c r="D814" s="17"/>
    </row>
    <row r="815" ht="15.75" customHeight="1">
      <c r="D815" s="17"/>
    </row>
    <row r="816" ht="15.75" customHeight="1">
      <c r="D816" s="17"/>
    </row>
    <row r="817" ht="15.75" customHeight="1">
      <c r="D817" s="17"/>
    </row>
    <row r="818" ht="15.75" customHeight="1">
      <c r="D818" s="17"/>
    </row>
    <row r="819" ht="15.75" customHeight="1">
      <c r="D819" s="17"/>
    </row>
    <row r="820" ht="15.75" customHeight="1">
      <c r="D820" s="17"/>
    </row>
    <row r="821" ht="15.75" customHeight="1">
      <c r="D821" s="17"/>
    </row>
    <row r="822" ht="15.75" customHeight="1">
      <c r="D822" s="17"/>
    </row>
    <row r="823" ht="15.75" customHeight="1">
      <c r="D823" s="17"/>
    </row>
    <row r="824" ht="15.75" customHeight="1">
      <c r="D824" s="17"/>
    </row>
    <row r="825" ht="15.75" customHeight="1">
      <c r="D825" s="17"/>
    </row>
    <row r="826" ht="15.75" customHeight="1">
      <c r="D826" s="17"/>
    </row>
    <row r="827" ht="15.75" customHeight="1">
      <c r="D827" s="17"/>
    </row>
    <row r="828" ht="15.75" customHeight="1">
      <c r="D828" s="17"/>
    </row>
    <row r="829" ht="15.75" customHeight="1">
      <c r="D829" s="17"/>
    </row>
    <row r="830" ht="15.75" customHeight="1">
      <c r="D830" s="17"/>
    </row>
    <row r="831" ht="15.75" customHeight="1">
      <c r="D831" s="17"/>
    </row>
    <row r="832" ht="15.75" customHeight="1">
      <c r="D832" s="17"/>
    </row>
    <row r="833" ht="15.75" customHeight="1">
      <c r="D833" s="17"/>
    </row>
    <row r="834" ht="15.75" customHeight="1">
      <c r="D834" s="17"/>
    </row>
    <row r="835" ht="15.75" customHeight="1">
      <c r="D835" s="17"/>
    </row>
    <row r="836" ht="15.75" customHeight="1">
      <c r="D836" s="17"/>
    </row>
    <row r="837" ht="15.75" customHeight="1">
      <c r="D837" s="17"/>
    </row>
    <row r="838" ht="15.75" customHeight="1">
      <c r="D838" s="17"/>
    </row>
    <row r="839" ht="15.75" customHeight="1">
      <c r="D839" s="17"/>
    </row>
    <row r="840" ht="15.75" customHeight="1">
      <c r="D840" s="17"/>
    </row>
    <row r="841" ht="15.75" customHeight="1">
      <c r="D841" s="17"/>
    </row>
    <row r="842" ht="15.75" customHeight="1">
      <c r="D842" s="17"/>
    </row>
    <row r="843" ht="15.75" customHeight="1">
      <c r="D843" s="17"/>
    </row>
    <row r="844" ht="15.75" customHeight="1">
      <c r="D844" s="17"/>
    </row>
    <row r="845" ht="15.75" customHeight="1">
      <c r="D845" s="17"/>
    </row>
    <row r="846" ht="15.75" customHeight="1">
      <c r="D846" s="17"/>
    </row>
    <row r="847" ht="15.75" customHeight="1">
      <c r="D847" s="17"/>
    </row>
    <row r="848" ht="15.75" customHeight="1">
      <c r="D848" s="17"/>
    </row>
    <row r="849" ht="15.75" customHeight="1">
      <c r="D849" s="17"/>
    </row>
    <row r="850" ht="15.75" customHeight="1">
      <c r="D850" s="17"/>
    </row>
    <row r="851" ht="15.75" customHeight="1">
      <c r="D851" s="17"/>
    </row>
    <row r="852" ht="15.75" customHeight="1">
      <c r="D852" s="17"/>
    </row>
    <row r="853" ht="15.75" customHeight="1">
      <c r="D853" s="17"/>
    </row>
    <row r="854" ht="15.75" customHeight="1">
      <c r="D854" s="17"/>
    </row>
    <row r="855" ht="15.75" customHeight="1">
      <c r="D855" s="17"/>
    </row>
    <row r="856" ht="15.75" customHeight="1">
      <c r="D856" s="17"/>
    </row>
    <row r="857" ht="15.75" customHeight="1">
      <c r="D857" s="17"/>
    </row>
    <row r="858" ht="15.75" customHeight="1">
      <c r="D858" s="17"/>
    </row>
    <row r="859" ht="15.75" customHeight="1">
      <c r="D859" s="17"/>
    </row>
    <row r="860" ht="15.75" customHeight="1">
      <c r="D860" s="17"/>
    </row>
    <row r="861" ht="15.75" customHeight="1">
      <c r="D861" s="17"/>
    </row>
    <row r="862" ht="15.75" customHeight="1">
      <c r="D862" s="17"/>
    </row>
    <row r="863" ht="15.75" customHeight="1">
      <c r="D863" s="17"/>
    </row>
    <row r="864" ht="15.75" customHeight="1">
      <c r="D864" s="17"/>
    </row>
    <row r="865" ht="15.75" customHeight="1">
      <c r="D865" s="17"/>
    </row>
    <row r="866" ht="15.75" customHeight="1">
      <c r="D866" s="17"/>
    </row>
    <row r="867" ht="15.75" customHeight="1">
      <c r="D867" s="17"/>
    </row>
    <row r="868" ht="15.75" customHeight="1">
      <c r="D868" s="17"/>
    </row>
    <row r="869" ht="15.75" customHeight="1">
      <c r="D869" s="17"/>
    </row>
    <row r="870" ht="15.75" customHeight="1">
      <c r="D870" s="17"/>
    </row>
    <row r="871" ht="15.75" customHeight="1">
      <c r="D871" s="17"/>
    </row>
    <row r="872" ht="15.75" customHeight="1">
      <c r="D872" s="17"/>
    </row>
    <row r="873" ht="15.75" customHeight="1">
      <c r="D873" s="17"/>
    </row>
    <row r="874" ht="15.75" customHeight="1">
      <c r="D874" s="17"/>
    </row>
    <row r="875" ht="15.75" customHeight="1">
      <c r="D875" s="17"/>
    </row>
    <row r="876" ht="15.75" customHeight="1">
      <c r="D876" s="17"/>
    </row>
    <row r="877" ht="15.75" customHeight="1">
      <c r="D877" s="17"/>
    </row>
    <row r="878" ht="15.75" customHeight="1">
      <c r="D878" s="17"/>
    </row>
    <row r="879" ht="15.75" customHeight="1">
      <c r="D879" s="17"/>
    </row>
    <row r="880" ht="15.75" customHeight="1">
      <c r="D880" s="17"/>
    </row>
    <row r="881" ht="15.75" customHeight="1">
      <c r="D881" s="17"/>
    </row>
    <row r="882" ht="15.75" customHeight="1">
      <c r="D882" s="17"/>
    </row>
    <row r="883" ht="15.75" customHeight="1">
      <c r="D883" s="17"/>
    </row>
    <row r="884" ht="15.75" customHeight="1">
      <c r="D884" s="17"/>
    </row>
    <row r="885" ht="15.75" customHeight="1">
      <c r="D885" s="17"/>
    </row>
    <row r="886" ht="15.75" customHeight="1">
      <c r="D886" s="17"/>
    </row>
    <row r="887" ht="15.75" customHeight="1">
      <c r="D887" s="17"/>
    </row>
    <row r="888" ht="15.75" customHeight="1">
      <c r="D888" s="17"/>
    </row>
    <row r="889" ht="15.75" customHeight="1">
      <c r="D889" s="17"/>
    </row>
    <row r="890" ht="15.75" customHeight="1">
      <c r="D890" s="17"/>
    </row>
    <row r="891" ht="15.75" customHeight="1">
      <c r="D891" s="17"/>
    </row>
    <row r="892" ht="15.75" customHeight="1">
      <c r="D892" s="17"/>
    </row>
    <row r="893" ht="15.75" customHeight="1">
      <c r="D893" s="17"/>
    </row>
    <row r="894" ht="15.75" customHeight="1">
      <c r="D894" s="17"/>
    </row>
    <row r="895" ht="15.75" customHeight="1">
      <c r="D895" s="17"/>
    </row>
    <row r="896" ht="15.75" customHeight="1">
      <c r="D896" s="17"/>
    </row>
    <row r="897" ht="15.75" customHeight="1">
      <c r="D897" s="17"/>
    </row>
    <row r="898" ht="15.75" customHeight="1">
      <c r="D898" s="17"/>
    </row>
    <row r="899" ht="15.75" customHeight="1">
      <c r="D899" s="17"/>
    </row>
    <row r="900" ht="15.75" customHeight="1">
      <c r="D900" s="17"/>
    </row>
    <row r="901" ht="15.75" customHeight="1">
      <c r="D901" s="17"/>
    </row>
    <row r="902" ht="15.75" customHeight="1">
      <c r="D902" s="17"/>
    </row>
    <row r="903" ht="15.75" customHeight="1">
      <c r="D903" s="17"/>
    </row>
    <row r="904" ht="15.75" customHeight="1">
      <c r="D904" s="17"/>
    </row>
    <row r="905" ht="15.75" customHeight="1">
      <c r="D905" s="17"/>
    </row>
    <row r="906" ht="15.75" customHeight="1">
      <c r="D906" s="17"/>
    </row>
    <row r="907" ht="15.75" customHeight="1">
      <c r="D907" s="17"/>
    </row>
    <row r="908" ht="15.75" customHeight="1">
      <c r="D908" s="17"/>
    </row>
    <row r="909" ht="15.75" customHeight="1">
      <c r="D909" s="17"/>
    </row>
    <row r="910" ht="15.75" customHeight="1">
      <c r="D910" s="17"/>
    </row>
    <row r="911" ht="15.75" customHeight="1">
      <c r="D911" s="17"/>
    </row>
    <row r="912" ht="15.75" customHeight="1">
      <c r="D912" s="17"/>
    </row>
    <row r="913" ht="15.75" customHeight="1">
      <c r="D913" s="17"/>
    </row>
    <row r="914" ht="15.75" customHeight="1">
      <c r="D914" s="17"/>
    </row>
    <row r="915" ht="15.75" customHeight="1">
      <c r="D915" s="17"/>
    </row>
    <row r="916" ht="15.75" customHeight="1">
      <c r="D916" s="17"/>
    </row>
    <row r="917" ht="15.75" customHeight="1">
      <c r="D917" s="17"/>
    </row>
    <row r="918" ht="15.75" customHeight="1">
      <c r="D918" s="17"/>
    </row>
    <row r="919" ht="15.75" customHeight="1">
      <c r="D919" s="17"/>
    </row>
    <row r="920" ht="15.75" customHeight="1">
      <c r="D920" s="17"/>
    </row>
    <row r="921" ht="15.75" customHeight="1">
      <c r="D921" s="17"/>
    </row>
    <row r="922" ht="15.75" customHeight="1">
      <c r="D922" s="17"/>
    </row>
    <row r="923" ht="15.75" customHeight="1">
      <c r="D923" s="17"/>
    </row>
    <row r="924" ht="15.75" customHeight="1">
      <c r="D924" s="17"/>
    </row>
    <row r="925" ht="15.75" customHeight="1">
      <c r="D925" s="17"/>
    </row>
    <row r="926" ht="15.75" customHeight="1">
      <c r="D926" s="17"/>
    </row>
    <row r="927" ht="15.75" customHeight="1">
      <c r="D927" s="17"/>
    </row>
    <row r="928" ht="15.75" customHeight="1">
      <c r="D928" s="17"/>
    </row>
    <row r="929" ht="15.75" customHeight="1">
      <c r="D929" s="17"/>
    </row>
    <row r="930" ht="15.75" customHeight="1">
      <c r="D930" s="17"/>
    </row>
    <row r="931" ht="15.75" customHeight="1">
      <c r="D931" s="17"/>
    </row>
    <row r="932" ht="15.75" customHeight="1">
      <c r="D932" s="17"/>
    </row>
    <row r="933" ht="15.75" customHeight="1">
      <c r="D933" s="17"/>
    </row>
    <row r="934" ht="15.75" customHeight="1">
      <c r="D934" s="17"/>
    </row>
    <row r="935" ht="15.75" customHeight="1">
      <c r="D935" s="17"/>
    </row>
    <row r="936" ht="15.75" customHeight="1">
      <c r="D936" s="17"/>
    </row>
    <row r="937" ht="15.75" customHeight="1">
      <c r="D937" s="17"/>
    </row>
    <row r="938" ht="15.75" customHeight="1">
      <c r="D938" s="17"/>
    </row>
    <row r="939" ht="15.75" customHeight="1">
      <c r="D939" s="17"/>
    </row>
    <row r="940" ht="15.75" customHeight="1">
      <c r="D940" s="17"/>
    </row>
    <row r="941" ht="15.75" customHeight="1">
      <c r="D941" s="17"/>
    </row>
    <row r="942" ht="15.75" customHeight="1">
      <c r="D942" s="17"/>
    </row>
    <row r="943" ht="15.75" customHeight="1">
      <c r="D943" s="17"/>
    </row>
    <row r="944" ht="15.75" customHeight="1">
      <c r="D944" s="17"/>
    </row>
    <row r="945" ht="15.75" customHeight="1">
      <c r="D945" s="17"/>
    </row>
    <row r="946" ht="15.75" customHeight="1">
      <c r="D946" s="17"/>
    </row>
    <row r="947" ht="15.75" customHeight="1">
      <c r="D947" s="17"/>
    </row>
    <row r="948" ht="15.75" customHeight="1">
      <c r="D948" s="17"/>
    </row>
    <row r="949" ht="15.75" customHeight="1">
      <c r="D949" s="17"/>
    </row>
    <row r="950" ht="15.75" customHeight="1">
      <c r="D950" s="17"/>
    </row>
    <row r="951" ht="15.75" customHeight="1">
      <c r="D951" s="17"/>
    </row>
    <row r="952" ht="15.75" customHeight="1">
      <c r="D952" s="17"/>
    </row>
    <row r="953" ht="15.75" customHeight="1">
      <c r="D953" s="17"/>
    </row>
    <row r="954" ht="15.75" customHeight="1">
      <c r="D954" s="17"/>
    </row>
    <row r="955" ht="15.75" customHeight="1">
      <c r="D955" s="17"/>
    </row>
    <row r="956" ht="15.75" customHeight="1">
      <c r="D956" s="17"/>
    </row>
    <row r="957" ht="15.75" customHeight="1">
      <c r="D957" s="17"/>
    </row>
    <row r="958" ht="15.75" customHeight="1">
      <c r="D958" s="17"/>
    </row>
    <row r="959" ht="15.75" customHeight="1">
      <c r="D959" s="17"/>
    </row>
    <row r="960" ht="15.75" customHeight="1">
      <c r="D960" s="17"/>
    </row>
    <row r="961" ht="15.75" customHeight="1">
      <c r="D961" s="17"/>
    </row>
    <row r="962" ht="15.75" customHeight="1">
      <c r="D962" s="17"/>
    </row>
    <row r="963" ht="15.75" customHeight="1">
      <c r="D963" s="17"/>
    </row>
    <row r="964" ht="15.75" customHeight="1">
      <c r="D964" s="17"/>
    </row>
    <row r="965" ht="15.75" customHeight="1">
      <c r="D965" s="17"/>
    </row>
    <row r="966" ht="15.75" customHeight="1">
      <c r="D966" s="17"/>
    </row>
    <row r="967" ht="15.75" customHeight="1">
      <c r="D967" s="17"/>
    </row>
    <row r="968" ht="15.75" customHeight="1">
      <c r="D968" s="17"/>
    </row>
    <row r="969" ht="15.75" customHeight="1">
      <c r="D969" s="17"/>
    </row>
    <row r="970" ht="15.75" customHeight="1">
      <c r="D970" s="17"/>
    </row>
    <row r="971" ht="15.75" customHeight="1">
      <c r="D971" s="17"/>
    </row>
    <row r="972" ht="15.75" customHeight="1">
      <c r="D972" s="17"/>
    </row>
    <row r="973" ht="15.75" customHeight="1">
      <c r="D973" s="17"/>
    </row>
    <row r="974" ht="15.75" customHeight="1">
      <c r="D974" s="17"/>
    </row>
    <row r="975" ht="15.75" customHeight="1">
      <c r="D975" s="17"/>
    </row>
    <row r="976" ht="15.75" customHeight="1">
      <c r="D976" s="17"/>
    </row>
    <row r="977" ht="15.75" customHeight="1">
      <c r="D977" s="17"/>
    </row>
    <row r="978" ht="15.75" customHeight="1">
      <c r="D978" s="17"/>
    </row>
    <row r="979" ht="15.75" customHeight="1">
      <c r="D979" s="17"/>
    </row>
    <row r="980" ht="15.75" customHeight="1">
      <c r="D980" s="17"/>
    </row>
    <row r="981" ht="15.75" customHeight="1">
      <c r="D981" s="17"/>
    </row>
    <row r="982" ht="15.75" customHeight="1">
      <c r="D982" s="17"/>
    </row>
    <row r="983" ht="15.75" customHeight="1">
      <c r="D983" s="17"/>
    </row>
    <row r="984" ht="15.75" customHeight="1">
      <c r="D984" s="17"/>
    </row>
    <row r="985" ht="15.75" customHeight="1">
      <c r="D985" s="17"/>
    </row>
    <row r="986" ht="15.75" customHeight="1">
      <c r="D986" s="17"/>
    </row>
    <row r="987" ht="15.75" customHeight="1">
      <c r="D987" s="17"/>
    </row>
    <row r="988" ht="15.75" customHeight="1">
      <c r="D988" s="17"/>
    </row>
    <row r="989" ht="15.75" customHeight="1">
      <c r="D989" s="17"/>
    </row>
    <row r="990" ht="15.75" customHeight="1">
      <c r="D990" s="17"/>
    </row>
    <row r="991" ht="15.75" customHeight="1">
      <c r="D991" s="17"/>
    </row>
    <row r="992" ht="15.75" customHeight="1">
      <c r="D992" s="17"/>
    </row>
    <row r="993" ht="15.75" customHeight="1">
      <c r="D993" s="17"/>
    </row>
    <row r="994" ht="15.75" customHeight="1">
      <c r="D994" s="17"/>
    </row>
    <row r="995" ht="15.75" customHeight="1">
      <c r="D995" s="17"/>
    </row>
    <row r="996" ht="15.75" customHeight="1">
      <c r="D996" s="17"/>
    </row>
    <row r="997" ht="15.75" customHeight="1">
      <c r="D997" s="17"/>
    </row>
    <row r="998" ht="15.75" customHeight="1">
      <c r="D998" s="17"/>
    </row>
    <row r="999" ht="15.75" customHeight="1">
      <c r="D999" s="17"/>
    </row>
    <row r="1000" ht="15.75" customHeight="1">
      <c r="D1000" s="17"/>
    </row>
    <row r="1001" ht="15.75" customHeight="1">
      <c r="D1001" s="17"/>
    </row>
    <row r="1002" ht="15.75" customHeight="1">
      <c r="D1002" s="17"/>
    </row>
  </sheetData>
  <autoFilter ref="$A$3:$V$1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57"/>
    <col customWidth="1" min="2" max="4" width="23.0"/>
  </cols>
  <sheetData>
    <row r="1">
      <c r="A1" s="24"/>
      <c r="B1" s="25" t="s">
        <v>212</v>
      </c>
      <c r="E1" s="24"/>
      <c r="F1" s="25" t="s">
        <v>213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26"/>
      <c r="B2" s="27" t="s">
        <v>214</v>
      </c>
      <c r="C2" s="28" t="s">
        <v>215</v>
      </c>
      <c r="D2" s="27" t="s">
        <v>216</v>
      </c>
      <c r="E2" s="29"/>
      <c r="F2" s="27" t="s">
        <v>217</v>
      </c>
      <c r="G2" s="27" t="s">
        <v>218</v>
      </c>
      <c r="H2" s="27" t="s">
        <v>219</v>
      </c>
      <c r="I2" s="27" t="s">
        <v>220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>
      <c r="A3" s="30" t="s">
        <v>19</v>
      </c>
      <c r="B3" s="26">
        <f>SUMIF('Standard Estimator - SALES'!$A$3:$A$147,A3,'Standard Estimator - SALES'!$L$3:$L$147)</f>
        <v>0</v>
      </c>
      <c r="C3" s="26">
        <f t="shared" ref="C3:C6" si="1">B3*0.2</f>
        <v>0</v>
      </c>
      <c r="D3" s="26">
        <f t="shared" ref="D3:D6" si="2">sum(B3:C3)</f>
        <v>0</v>
      </c>
      <c r="E3" s="26"/>
      <c r="F3" s="29">
        <v>40.0</v>
      </c>
      <c r="G3" s="31">
        <f t="shared" ref="G3:G6" si="3">D3*F3</f>
        <v>0</v>
      </c>
      <c r="H3" s="32">
        <v>0.0</v>
      </c>
      <c r="I3" s="31">
        <f t="shared" ref="I3:I6" si="4">G3+H3</f>
        <v>0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30" t="s">
        <v>31</v>
      </c>
      <c r="B4" s="26">
        <f>SUMIF('Standard Estimator - SALES'!$A$3:$A$147,A4,'Standard Estimator - SALES'!$L$3:$L$147)</f>
        <v>0</v>
      </c>
      <c r="C4" s="26">
        <f t="shared" si="1"/>
        <v>0</v>
      </c>
      <c r="D4" s="26">
        <f t="shared" si="2"/>
        <v>0</v>
      </c>
      <c r="E4" s="26"/>
      <c r="F4" s="29">
        <v>40.0</v>
      </c>
      <c r="G4" s="31">
        <f t="shared" si="3"/>
        <v>0</v>
      </c>
      <c r="H4" s="32">
        <v>0.0</v>
      </c>
      <c r="I4" s="31">
        <f t="shared" si="4"/>
        <v>0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>
      <c r="A5" s="30" t="s">
        <v>95</v>
      </c>
      <c r="B5" s="26">
        <f>SUMIF('Standard Estimator - SALES'!$A$3:$A$147,A5,'Standard Estimator - SALES'!$L$3:$L$147)</f>
        <v>0</v>
      </c>
      <c r="C5" s="26">
        <f t="shared" si="1"/>
        <v>0</v>
      </c>
      <c r="D5" s="26">
        <f t="shared" si="2"/>
        <v>0</v>
      </c>
      <c r="E5" s="26"/>
      <c r="F5" s="29">
        <v>40.0</v>
      </c>
      <c r="G5" s="31">
        <f t="shared" si="3"/>
        <v>0</v>
      </c>
      <c r="H5" s="32">
        <v>0.0</v>
      </c>
      <c r="I5" s="31">
        <f t="shared" si="4"/>
        <v>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>
      <c r="A6" s="30" t="s">
        <v>199</v>
      </c>
      <c r="B6" s="26">
        <f>SUMIF('Standard Estimator - SALES'!$A$3:$A$147,A6,'Standard Estimator - SALES'!$L$3:$L$147)</f>
        <v>0</v>
      </c>
      <c r="C6" s="26">
        <f t="shared" si="1"/>
        <v>0</v>
      </c>
      <c r="D6" s="26">
        <f t="shared" si="2"/>
        <v>0</v>
      </c>
      <c r="E6" s="26"/>
      <c r="F6" s="29">
        <v>40.0</v>
      </c>
      <c r="G6" s="31">
        <f t="shared" si="3"/>
        <v>0</v>
      </c>
      <c r="H6" s="32">
        <v>0.0</v>
      </c>
      <c r="I6" s="31">
        <f t="shared" si="4"/>
        <v>0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33" t="s">
        <v>221</v>
      </c>
      <c r="B7" s="34">
        <f t="shared" ref="B7:D7" si="5">sum(B3:B6)</f>
        <v>0</v>
      </c>
      <c r="C7" s="34">
        <f t="shared" si="5"/>
        <v>0</v>
      </c>
      <c r="D7" s="34">
        <f t="shared" si="5"/>
        <v>0</v>
      </c>
      <c r="E7" s="26"/>
      <c r="F7" s="34">
        <f>AVERAGE(F3:F6)</f>
        <v>40</v>
      </c>
      <c r="G7" s="35">
        <f t="shared" ref="G7:I7" si="6">sum(G3:G6)</f>
        <v>0</v>
      </c>
      <c r="H7" s="35">
        <f t="shared" si="6"/>
        <v>0</v>
      </c>
      <c r="I7" s="35">
        <f t="shared" si="6"/>
        <v>0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26"/>
      <c r="B9" s="26"/>
      <c r="C9" s="26"/>
      <c r="D9" s="26"/>
      <c r="E9" s="26"/>
      <c r="F9" s="26"/>
      <c r="G9" s="26"/>
      <c r="H9" s="29" t="s">
        <v>222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26"/>
      <c r="B10" s="3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6"/>
      <c r="B11" s="36"/>
      <c r="C11" s="26"/>
      <c r="D11" s="26"/>
      <c r="E11" s="26"/>
      <c r="F11" s="26"/>
      <c r="G11" s="26"/>
      <c r="H11" s="29" t="s">
        <v>223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6"/>
      <c r="B12" s="36"/>
      <c r="C12" s="26"/>
      <c r="D12" s="26"/>
      <c r="E12" s="26"/>
      <c r="F12" s="26"/>
      <c r="G12" s="26"/>
      <c r="H12" s="29" t="s">
        <v>224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6"/>
      <c r="B13" s="3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6"/>
      <c r="B14" s="3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6"/>
      <c r="B15" s="3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26"/>
      <c r="B16" s="3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>
      <c r="A17" s="26"/>
      <c r="B17" s="3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>
      <c r="A18" s="26"/>
      <c r="B18" s="3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>
      <c r="A19" s="26"/>
      <c r="B19" s="3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>
      <c r="A20" s="26"/>
      <c r="B20" s="3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>
      <c r="A21" s="26"/>
      <c r="B21" s="3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>
      <c r="A22" s="26"/>
      <c r="B22" s="3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26"/>
      <c r="B23" s="3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>
      <c r="A24" s="26"/>
      <c r="B24" s="3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</sheetData>
  <mergeCells count="2">
    <mergeCell ref="B1:D1"/>
    <mergeCell ref="F1:I1"/>
  </mergeCells>
  <dataValidations>
    <dataValidation type="list" allowBlank="1" showDropDown="1" showErrorMessage="1" sqref="A3:A6">
      <formula1>"PRE-SALE,DISCOVERY,FOUNDATIONS,DESIGN,DELIVERY,LAUNCH"</formula1>
    </dataValidation>
  </dataValidations>
  <drawing r:id="rId1"/>
</worksheet>
</file>