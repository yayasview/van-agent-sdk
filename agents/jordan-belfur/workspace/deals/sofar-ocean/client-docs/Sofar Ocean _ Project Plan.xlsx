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yaya/Claude/van-agent-sdk/agents/jordan-belfur/workspace/knowledge/deals/sofar-ocean-55825324908/"/>
    </mc:Choice>
  </mc:AlternateContent>
  <xr:revisionPtr revIDLastSave="0" documentId="13_ncr:1_{8FF65542-231F-CD42-9202-2FAF6CD1D0E0}" xr6:coauthVersionLast="47" xr6:coauthVersionMax="47" xr10:uidLastSave="{00000000-0000-0000-0000-000000000000}"/>
  <bookViews>
    <workbookView xWindow="6200" yWindow="600" windowWidth="44960" windowHeight="25980" tabRatio="500" xr2:uid="{00000000-000D-0000-FFFF-FFFF00000000}"/>
  </bookViews>
  <sheets>
    <sheet name="Sitemap" sheetId="1" r:id="rId1"/>
    <sheet name="Dev Only" sheetId="3" r:id="rId2"/>
    <sheet name="Full Service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40" i="2" l="1"/>
  <c r="O41" i="2"/>
  <c r="O42" i="2"/>
  <c r="O43" i="2"/>
  <c r="O44" i="2"/>
  <c r="O45" i="2"/>
  <c r="O46" i="2"/>
  <c r="O47" i="2"/>
  <c r="O39" i="2"/>
  <c r="J49" i="2"/>
  <c r="F54" i="1" a="1"/>
  <c r="F54" i="1" s="1"/>
  <c r="P30" i="3"/>
  <c r="P31" i="3"/>
  <c r="P32" i="3"/>
  <c r="P37" i="3" s="1"/>
  <c r="P33" i="3"/>
  <c r="P34" i="3"/>
  <c r="P35" i="3"/>
  <c r="P29" i="3"/>
  <c r="J39" i="3"/>
  <c r="J33" i="3"/>
  <c r="O35" i="3"/>
  <c r="O32" i="3"/>
  <c r="J31" i="3"/>
  <c r="J32" i="3" s="1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3" i="3"/>
  <c r="B22" i="3"/>
  <c r="O34" i="3" s="1"/>
  <c r="B21" i="3"/>
  <c r="O33" i="3" s="1"/>
  <c r="B20" i="3"/>
  <c r="B19" i="3"/>
  <c r="O31" i="3" s="1"/>
  <c r="B18" i="3"/>
  <c r="O30" i="3" s="1"/>
  <c r="B17" i="3"/>
  <c r="O29" i="3" s="1"/>
  <c r="J41" i="2"/>
  <c r="J42" i="2" s="1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3" i="2"/>
  <c r="N46" i="2" s="1"/>
  <c r="B32" i="2"/>
  <c r="N45" i="2" s="1"/>
  <c r="B31" i="2"/>
  <c r="N47" i="2" s="1"/>
  <c r="B30" i="2"/>
  <c r="N43" i="2" s="1"/>
  <c r="B29" i="2"/>
  <c r="N44" i="2" s="1"/>
  <c r="B28" i="2"/>
  <c r="N42" i="2" s="1"/>
  <c r="B27" i="2"/>
  <c r="N41" i="2" s="1"/>
  <c r="B26" i="2"/>
  <c r="N40" i="2" s="1"/>
  <c r="B25" i="2"/>
  <c r="F56" i="1"/>
  <c r="B35" i="2" l="1"/>
  <c r="J46" i="2" s="1"/>
  <c r="O37" i="3"/>
  <c r="B25" i="3"/>
  <c r="J45" i="2"/>
  <c r="N39" i="2"/>
  <c r="J43" i="2"/>
  <c r="J47" i="2" l="1"/>
  <c r="J48" i="2" s="1"/>
  <c r="J36" i="3"/>
  <c r="J37" i="3" s="1"/>
  <c r="J38" i="3" s="1"/>
  <c r="J35" i="3"/>
  <c r="N49" i="2"/>
  <c r="O4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<sst xmlns="http://schemas.openxmlformats.org/spreadsheetml/2006/main" count="463" uniqueCount="224">
  <si>
    <t>Address</t>
  </si>
  <si>
    <t>Section</t>
  </si>
  <si>
    <t>Type</t>
  </si>
  <si>
    <t>Instances</t>
  </si>
  <si>
    <t>Effort</t>
  </si>
  <si>
    <t>Hours</t>
  </si>
  <si>
    <t>Migrate?</t>
  </si>
  <si>
    <t>Notes</t>
  </si>
  <si>
    <t>CORE PAGES</t>
  </si>
  <si>
    <t>sofarocean.com/</t>
  </si>
  <si>
    <t>Homepage</t>
  </si>
  <si>
    <t>Static</t>
  </si>
  <si>
    <t>High</t>
  </si>
  <si>
    <t>Yes</t>
  </si>
  <si>
    <t>Persona entry (Shipping|Science|Defence), product overview, stats snapshot, demo CTA</t>
  </si>
  <si>
    <t>sofarocean.com/support</t>
  </si>
  <si>
    <t>Support</t>
  </si>
  <si>
    <t>Medium</t>
  </si>
  <si>
    <t>Support hub/portal entry</t>
  </si>
  <si>
    <t>sofarocean.com/search</t>
  </si>
  <si>
    <t>Utility</t>
  </si>
  <si>
    <t>Low</t>
  </si>
  <si>
    <t>Site search page</t>
  </si>
  <si>
    <t>SOLUTIONS — VOYAGE INTELLIGENCE (WAYFINDER)</t>
  </si>
  <si>
    <t>sofarocean.com/solutions/voyage-intelligence</t>
  </si>
  <si>
    <t>Wayfinder</t>
  </si>
  <si>
    <t>Product overview: core features, benefits, ROI; persona-tailored for fleets &amp; operators</t>
  </si>
  <si>
    <t>sofarocean.com/solutions/voyage-intelligence/vessel-performance-model</t>
  </si>
  <si>
    <t>Wayfinder – VPM</t>
  </si>
  <si>
    <t>Vessel Performance Model sub-page</t>
  </si>
  <si>
    <t>sofarocean.com/solutions/voyage-intelligence/demos</t>
  </si>
  <si>
    <t>Wayfinder – Demos</t>
  </si>
  <si>
    <t>Interactive demos / embed</t>
  </si>
  <si>
    <t>sofarocean.com/solutions/voyage-intelligence/use-cases/[slug]</t>
  </si>
  <si>
    <t>Wayfinder – Use Cases</t>
  </si>
  <si>
    <t>Template</t>
  </si>
  <si>
    <t>Use case pages for Wayfinder</t>
  </si>
  <si>
    <t>sofarocean.com/solutions/voyage-intelligence/mpa</t>
  </si>
  <si>
    <t>Wayfinder – MPA</t>
  </si>
  <si>
    <t>MPA sub-page</t>
  </si>
  <si>
    <t>SOLUTIONS — OCEAN SENSOR PLATFORM (SPOTTER)</t>
  </si>
  <si>
    <t>sofarocean.com/solutions/ocean-sensor-platform</t>
  </si>
  <si>
    <t>Spotter</t>
  </si>
  <si>
    <t>Product overview: data types, sensors, software, hardware specs, durability, scalability</t>
  </si>
  <si>
    <t>sofarocean.com/solutions/ocean-sensor-platform/network-map</t>
  </si>
  <si>
    <t>Spotter – Network Map</t>
  </si>
  <si>
    <t>Interactive Spotter network map</t>
  </si>
  <si>
    <t>sofarocean.com/solutions/ocean-sensor-platform/how-it-works</t>
  </si>
  <si>
    <t>Spotter – How It Works</t>
  </si>
  <si>
    <t>Sensor → Model → Forecast explanation</t>
  </si>
  <si>
    <t>sofarocean.com/solutions/ocean-sensor-platform/use-cases/[slug]</t>
  </si>
  <si>
    <t>Spotter – Use Cases</t>
  </si>
  <si>
    <t>Use case pages for Spotter</t>
  </si>
  <si>
    <t>sofarocean.com/solutions/ocean-sensor-platform/pricing</t>
  </si>
  <si>
    <t>Spotter – Pricing</t>
  </si>
  <si>
    <t>Pricing page</t>
  </si>
  <si>
    <t>sofarocean.com/solutions/ocean-sensor-platform/sound-library</t>
  </si>
  <si>
    <t>Spotter – Sound Library</t>
  </si>
  <si>
    <t>Collection</t>
  </si>
  <si>
    <t>Sound library — filterable CMS collection</t>
  </si>
  <si>
    <t>sofarocean.com/products/spotter/[sensor]</t>
  </si>
  <si>
    <t>Spotter Sensors</t>
  </si>
  <si>
    <t>hydrophone, DO, pressure, current-meter, bristlemouth, etc.</t>
  </si>
  <si>
    <t>SOLUTIONS — WEATHER &amp; FORECASTING</t>
  </si>
  <si>
    <t>sofarocean.com/solutions/weather-forecasting</t>
  </si>
  <si>
    <t>Weather</t>
  </si>
  <si>
    <t>Dashboard overview: real-time forecast samples, screenshots, models</t>
  </si>
  <si>
    <t>sofarocean.com/solutions/weather-forecasting/accuracy</t>
  </si>
  <si>
    <t>Weather – Accuracy</t>
  </si>
  <si>
    <t>Forecast accuracy &amp; validation: metrics vs. competitors</t>
  </si>
  <si>
    <t>sofarocean.com/solutions/weather-forecasting/meet-the-scientist</t>
  </si>
  <si>
    <t>Weather – Scientist</t>
  </si>
  <si>
    <t>Meet the Scientist editorial page</t>
  </si>
  <si>
    <t>sofarocean.com/solutions/weather-forecasting/use-cases/[slug]</t>
  </si>
  <si>
    <t>Weather – Use Cases</t>
  </si>
  <si>
    <t>Use case pages for Weather &amp; Forecasting</t>
  </si>
  <si>
    <t>SOLUTIONS — DEFENCE &amp; GOVERNMENT</t>
  </si>
  <si>
    <t>sofarocean.com/solutions/defence-government</t>
  </si>
  <si>
    <t>Defence</t>
  </si>
  <si>
    <t>Mission applications, partnerships &amp; certifications, secure inquiry form</t>
  </si>
  <si>
    <t>sofarocean.com/solutions/defence-government/mission-applications</t>
  </si>
  <si>
    <t>Defence – Missions</t>
  </si>
  <si>
    <t>Mission applications sub-page</t>
  </si>
  <si>
    <t>sofarocean.com/solutions/defence-government/partnerships</t>
  </si>
  <si>
    <t>Defence – Partnerships</t>
  </si>
  <si>
    <t>Partnerships &amp; certifications</t>
  </si>
  <si>
    <t>RESOURCES</t>
  </si>
  <si>
    <t>sofarocean.com/case-studies</t>
  </si>
  <si>
    <t>Resources – Case Studies</t>
  </si>
  <si>
    <t>Filterable by persona (Fleet | Research | Defence)</t>
  </si>
  <si>
    <t>sofarocean.com/case-studies/[slug]</t>
  </si>
  <si>
    <t>Case Study</t>
  </si>
  <si>
    <t>Case study detail template</t>
  </si>
  <si>
    <t>sofarocean.com/webinars-events</t>
  </si>
  <si>
    <t>Resources – Events</t>
  </si>
  <si>
    <t>Webinars &amp; events listing</t>
  </si>
  <si>
    <t>sofarocean.com/updates</t>
  </si>
  <si>
    <t>Blog / Newsroom</t>
  </si>
  <si>
    <t>Blog listing with filtering</t>
  </si>
  <si>
    <t>sofarocean.com/posts/[slug]</t>
  </si>
  <si>
    <t>Blog Post</t>
  </si>
  <si>
    <t>200+</t>
  </si>
  <si>
    <t>Post template — text, media, author</t>
  </si>
  <si>
    <t>sofarocean.com/research-papers</t>
  </si>
  <si>
    <t>Resources – Research</t>
  </si>
  <si>
    <t>Research papers &amp; white papers listing</t>
  </si>
  <si>
    <t>sofarocean.com/research-papers/[slug]</t>
  </si>
  <si>
    <t>Research Paper</t>
  </si>
  <si>
    <t>Research paper / white paper detail page</t>
  </si>
  <si>
    <t>ABOUT</t>
  </si>
  <si>
    <t>sofarocean.com/company/about</t>
  </si>
  <si>
    <t>About</t>
  </si>
  <si>
    <t>Team/company overview</t>
  </si>
  <si>
    <t>sofarocean.com/data-philosophy</t>
  </si>
  <si>
    <t>Data philosophy editorial page</t>
  </si>
  <si>
    <t>sofarocean.com/sustainability</t>
  </si>
  <si>
    <t>Sustainability / impact — environmental and social initiatives</t>
  </si>
  <si>
    <t>sofarocean.com/company/careers</t>
  </si>
  <si>
    <t>Job listings — may integrate ATS</t>
  </si>
  <si>
    <t>sofarocean.com/legal/[page]</t>
  </si>
  <si>
    <t>Legal</t>
  </si>
  <si>
    <t>Terms, privacy, compliance pages</t>
  </si>
  <si>
    <t>SIGNUP / CONVERSION</t>
  </si>
  <si>
    <t>sofarocean.com/signup/[form]</t>
  </si>
  <si>
    <t>Signup/Demo</t>
  </si>
  <si>
    <t>10+</t>
  </si>
  <si>
    <t>Demo forms, partner signups — persona-specific CTAs</t>
  </si>
  <si>
    <t>TOTAL UNIQUE BUILDS</t>
  </si>
  <si>
    <t>Content Migration (200+ posts, research papers, case studies)</t>
  </si>
  <si>
    <t>TOTAL PAGE HOURS</t>
  </si>
  <si>
    <t>PROJECT PLAN</t>
  </si>
  <si>
    <t>Sprint</t>
  </si>
  <si>
    <t>Sprint 1</t>
  </si>
  <si>
    <t>Sprint 2</t>
  </si>
  <si>
    <t>Sprint 3</t>
  </si>
  <si>
    <t>Sprint 4</t>
  </si>
  <si>
    <t>Sprint 5</t>
  </si>
  <si>
    <t>Sprint 6</t>
  </si>
  <si>
    <t>Date</t>
  </si>
  <si>
    <t>Project Setup</t>
  </si>
  <si>
    <t>Development</t>
  </si>
  <si>
    <t>Frontend Dev</t>
  </si>
  <si>
    <t>Animations</t>
  </si>
  <si>
    <t>Motion/Interaction</t>
  </si>
  <si>
    <t>Content Migration</t>
  </si>
  <si>
    <t>SEO</t>
  </si>
  <si>
    <t>SEO Audit</t>
  </si>
  <si>
    <t>SEO Setup</t>
  </si>
  <si>
    <t>QA</t>
  </si>
  <si>
    <t>Design Consulting</t>
  </si>
  <si>
    <t>Enablement</t>
  </si>
  <si>
    <t>HOURLY BREAKDOWN</t>
  </si>
  <si>
    <t>Totals</t>
  </si>
  <si>
    <t>Role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</si>
  <si>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</si>
  <si>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</si>
  <si>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</si>
  <si>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</si>
  <si>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</si>
  <si>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</si>
  <si>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</si>
  <si>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</si>
  <si>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</si>
  <si>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</si>
  <si>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</si>
  <si>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</si>
  <si>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</si>
  <si>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Wk14</t>
  </si>
  <si>
    <t>Project Manager</t>
  </si>
  <si>
    <t>Webflow Developer</t>
  </si>
  <si>
    <t>Motion Developer</t>
  </si>
  <si>
    <t>Data/Content Team</t>
  </si>
  <si>
    <t>SEO Specialist</t>
  </si>
  <si>
    <t>QA Specialist</t>
  </si>
  <si>
    <t>Design Consultant</t>
  </si>
  <si>
    <t>Total</t>
  </si>
  <si>
    <t>TEAM OVERVIEW</t>
  </si>
  <si>
    <t>OVERVIEW TABLE</t>
  </si>
  <si>
    <t>COST BREAKDOWN</t>
  </si>
  <si>
    <t>Rate</t>
  </si>
  <si>
    <t>Work Stream</t>
  </si>
  <si>
    <t>Total Hours</t>
  </si>
  <si>
    <t>Cost</t>
  </si>
  <si>
    <t>Start Date</t>
  </si>
  <si>
    <t>Project Management</t>
  </si>
  <si>
    <t>Handoff Date</t>
  </si>
  <si>
    <t>Webflow Development</t>
  </si>
  <si>
    <t>Weeks</t>
  </si>
  <si>
    <t>Motion/Interaction Dev</t>
  </si>
  <si>
    <t>Days</t>
  </si>
  <si>
    <t>Blended Rate</t>
  </si>
  <si>
    <t>Hours Total</t>
  </si>
  <si>
    <t>Quality Assurance</t>
  </si>
  <si>
    <t>Hours Weekly</t>
  </si>
  <si>
    <t>Weekly Run Rate</t>
  </si>
  <si>
    <t>Budget Per Sprint</t>
  </si>
  <si>
    <t>Sprint 7</t>
  </si>
  <si>
    <t>Sprint 8</t>
  </si>
  <si>
    <t>Sprint 9</t>
  </si>
  <si>
    <t>DESIGN PHASE</t>
  </si>
  <si>
    <t>Discovery &amp; IA</t>
  </si>
  <si>
    <t>Discovery</t>
  </si>
  <si>
    <t>IA &amp; Sitemap</t>
  </si>
  <si>
    <t>UX / Wireframes</t>
  </si>
  <si>
    <t>Wireframes</t>
  </si>
  <si>
    <t>UI Design</t>
  </si>
  <si>
    <t>Visual Design</t>
  </si>
  <si>
    <t>Motion Concepts</t>
  </si>
  <si>
    <t>Motion Direction</t>
  </si>
  <si>
    <t>Design Review</t>
  </si>
  <si>
    <t>Review</t>
  </si>
  <si>
    <t>Review/Handoff</t>
  </si>
  <si>
    <t>DEV PHASE</t>
  </si>
  <si>
    <t>Motion Dev</t>
  </si>
  <si>
    <t>Wk15</t>
  </si>
  <si>
    <t>Wk16</t>
  </si>
  <si>
    <t>Wk17</t>
  </si>
  <si>
    <t>Wk18</t>
  </si>
  <si>
    <t>UX Designer</t>
  </si>
  <si>
    <t>UI Designer</t>
  </si>
  <si>
    <t>Creative Director</t>
  </si>
  <si>
    <t>UX Design</t>
  </si>
  <si>
    <t>Creative Direction</t>
  </si>
  <si>
    <t>Standard Rate (MSA)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</si>
</sst>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m/d"/>
    <numFmt numFmtId="165" formatCode="\$#,##0"/>
    <numFmt numFmtId="166" formatCode="mm/dd/yyyy"/>
    <numFmt numFmtId="170" formatCode="_(&quot;$&quot;* #,##0_);_(&quot;$&quot;* \(#,##0\);_(&quot;$&quot;* &quot;-&quot;??_);_(@_)"/>
  </numFmts>
  <fonts count="10" x14ac:knownFonts="1">
    <font>
      <sz val="10"/>
      <color rgb="FF000000"/>
      <name val="Arial"/>
      <charset val="1"/>
    </font>
    <font>
      <b/>
      <sz val="11"/>
      <color rgb="FFFFFFFF"/>
      <name val="Arial"/>
      <family val="2"/>
    </font>
    <font>
      <b/>
      <sz val="11"/>
      <color rgb="FFFFFFFF"/>
      <name val="Cambria"/>
      <family val="1"/>
    </font>
    <font>
      <sz val="11"/>
      <color rgb="FF0000FF"/>
      <name val="Cambria"/>
      <family val="1"/>
    </font>
    <font>
      <sz val="11"/>
      <name val="Cambria"/>
      <family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426DB5"/>
        <bgColor rgb="FF3366FF"/>
      </patternFill>
    </fill>
    <fill>
      <patternFill patternType="solid">
        <fgColor rgb="FFD6A528"/>
        <bgColor rgb="FFE29933"/>
      </patternFill>
    </fill>
    <fill>
      <patternFill patternType="solid">
        <fgColor rgb="FFEFEFEF"/>
        <bgColor rgb="FFFFFFFF"/>
      </patternFill>
    </fill>
    <fill>
      <patternFill patternType="solid">
        <fgColor rgb="FFFFFFFF"/>
        <bgColor rgb="FFEFEFEF"/>
      </patternFill>
    </fill>
    <fill>
      <patternFill patternType="solid">
        <fgColor rgb="FFE29933"/>
        <bgColor rgb="FFD6A528"/>
      </patternFill>
    </fill>
    <fill>
      <patternFill patternType="solid">
        <fgColor rgb="FF448C60"/>
        <bgColor rgb="FF808080"/>
      </patternFill>
    </fill>
    <fill>
      <patternFill patternType="solid">
        <fgColor rgb="FF664499"/>
        <bgColor rgb="FF993366"/>
      </patternFill>
    </fill>
    <fill>
      <patternFill patternType="solid">
        <fgColor rgb="FF8C8C8C"/>
        <bgColor rgb="FF808080"/>
      </patternFill>
    </fill>
    <fill>
      <patternFill patternType="solid">
        <fgColor rgb="FFFFF299"/>
        <bgColor rgb="FFFFCC9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2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2" fillId="4" borderId="0" xfId="0" applyFont="1" applyFill="1"/>
    <xf numFmtId="0" fontId="5" fillId="5" borderId="0" xfId="0" applyFont="1" applyFill="1"/>
    <xf numFmtId="164" fontId="5" fillId="5" borderId="0" xfId="0" applyNumberFormat="1" applyFont="1" applyFill="1"/>
    <xf numFmtId="0" fontId="6" fillId="6" borderId="0" xfId="0" applyFont="1" applyFill="1"/>
    <xf numFmtId="0" fontId="1" fillId="7" borderId="0" xfId="0" applyFont="1" applyFill="1"/>
    <xf numFmtId="0" fontId="1" fillId="3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4" borderId="0" xfId="0" applyFont="1" applyFill="1"/>
    <xf numFmtId="0" fontId="5" fillId="11" borderId="0" xfId="0" applyFont="1" applyFill="1"/>
    <xf numFmtId="0" fontId="6" fillId="5" borderId="0" xfId="0" applyFont="1" applyFill="1"/>
    <xf numFmtId="0" fontId="7" fillId="0" borderId="0" xfId="0" applyFont="1"/>
    <xf numFmtId="165" fontId="7" fillId="0" borderId="0" xfId="0" applyNumberFormat="1" applyFont="1"/>
    <xf numFmtId="166" fontId="7" fillId="0" borderId="0" xfId="0" applyNumberFormat="1" applyFont="1"/>
    <xf numFmtId="165" fontId="1" fillId="4" borderId="0" xfId="0" applyNumberFormat="1" applyFont="1" applyFill="1"/>
    <xf numFmtId="0" fontId="7" fillId="0" borderId="0" xfId="0" applyFont="1"/>
    <xf numFmtId="0" fontId="1" fillId="4" borderId="0" xfId="0" applyFont="1" applyFill="1"/>
    <xf numFmtId="0" fontId="6" fillId="6" borderId="0" xfId="0" applyFont="1" applyFill="1"/>
    <xf numFmtId="0" fontId="0" fillId="0" borderId="0" xfId="0"/>
    <xf numFmtId="0" fontId="8" fillId="0" borderId="0" xfId="0" applyFont="1"/>
    <xf numFmtId="170" fontId="1" fillId="4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99"/>
      <rgbColor rgb="FF99CCFF"/>
      <rgbColor rgb="FFFF99CC"/>
      <rgbColor rgb="FFCC99FF"/>
      <rgbColor rgb="FFFFCC99"/>
      <rgbColor rgb="FF3366FF"/>
      <rgbColor rgb="FF33CCCC"/>
      <rgbColor rgb="FF99CC00"/>
      <rgbColor rgb="FFD6A528"/>
      <rgbColor rgb="FFE29933"/>
      <rgbColor rgb="FFFF6600"/>
      <rgbColor rgb="FF426DB5"/>
      <rgbColor rgb="FF8C8C8C"/>
      <rgbColor rgb="FF003366"/>
      <rgbColor rgb="FF448C60"/>
      <rgbColor rgb="FF003300"/>
      <rgbColor rgb="FF333300"/>
      <rgbColor rgb="FF993300"/>
      <rgbColor rgb="FF993366"/>
      <rgbColor rgb="FF6644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ofarocean.com/products/wayfinder" TargetMode="External"/><Relationship Id="rId3" Type="http://schemas.openxmlformats.org/officeDocument/2006/relationships/hyperlink" Target="http://sofarocean.com/company/about" TargetMode="External"/><Relationship Id="rId7" Type="http://schemas.openxmlformats.org/officeDocument/2006/relationships/hyperlink" Target="http://sofarocean.com/search" TargetMode="External"/><Relationship Id="rId2" Type="http://schemas.openxmlformats.org/officeDocument/2006/relationships/hyperlink" Target="http://sofarocean.com/sofar-approach" TargetMode="External"/><Relationship Id="rId1" Type="http://schemas.openxmlformats.org/officeDocument/2006/relationships/hyperlink" Target="http://sofarocean.com/" TargetMode="External"/><Relationship Id="rId6" Type="http://schemas.openxmlformats.org/officeDocument/2006/relationships/hyperlink" Target="http://sofarocean.com/support" TargetMode="External"/><Relationship Id="rId5" Type="http://schemas.openxmlformats.org/officeDocument/2006/relationships/hyperlink" Target="http://sofarocean.com/company/contact-us" TargetMode="External"/><Relationship Id="rId4" Type="http://schemas.openxmlformats.org/officeDocument/2006/relationships/hyperlink" Target="http://sofarocean.com/company/climate-commitment" TargetMode="External"/><Relationship Id="rId9" Type="http://schemas.openxmlformats.org/officeDocument/2006/relationships/hyperlink" Target="http://sofarocean.com/sem-landing-p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58"/>
  <sheetViews>
    <sheetView tabSelected="1" zoomScale="130" zoomScaleNormal="130" workbookViewId="0">
      <selection activeCell="F46" sqref="F46"/>
    </sheetView>
  </sheetViews>
  <sheetFormatPr baseColWidth="10" defaultColWidth="12.6640625" defaultRowHeight="15.75" customHeight="1" x14ac:dyDescent="0.15"/>
  <cols>
    <col min="1" max="1" width="40.5" customWidth="1"/>
    <col min="5" max="5" width="44" customWidth="1"/>
    <col min="6" max="6" width="19.83203125" customWidth="1"/>
    <col min="8" max="8" width="56.832031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 ht="15.75" customHeight="1" x14ac:dyDescent="0.15">
      <c r="A3" s="2" t="s">
        <v>8</v>
      </c>
      <c r="B3" s="2"/>
      <c r="C3" s="2"/>
      <c r="D3" s="2"/>
      <c r="E3" s="2"/>
      <c r="F3" s="2"/>
      <c r="G3" s="2"/>
      <c r="H3" s="2"/>
    </row>
    <row r="4" spans="1:8" ht="15.75" customHeight="1" x14ac:dyDescent="0.15">
      <c r="A4" s="3" t="s">
        <v>9</v>
      </c>
      <c r="B4" s="4" t="s">
        <v>10</v>
      </c>
      <c r="C4" s="4" t="s">
        <v>11</v>
      </c>
      <c r="D4" s="4">
        <v>1</v>
      </c>
      <c r="E4" s="4" t="s">
        <v>12</v>
      </c>
      <c r="F4" s="4">
        <v>24</v>
      </c>
      <c r="G4" s="4" t="s">
        <v>13</v>
      </c>
      <c r="H4" s="4" t="s">
        <v>14</v>
      </c>
    </row>
    <row r="5" spans="1:8" ht="15.75" customHeight="1" x14ac:dyDescent="0.15">
      <c r="A5" s="3" t="s">
        <v>15</v>
      </c>
      <c r="B5" s="4" t="s">
        <v>16</v>
      </c>
      <c r="C5" s="4" t="s">
        <v>11</v>
      </c>
      <c r="D5" s="4">
        <v>1</v>
      </c>
      <c r="E5" s="4" t="s">
        <v>17</v>
      </c>
      <c r="F5" s="4">
        <v>8</v>
      </c>
      <c r="G5" s="4" t="s">
        <v>13</v>
      </c>
      <c r="H5" s="4" t="s">
        <v>18</v>
      </c>
    </row>
    <row r="6" spans="1:8" ht="15.75" customHeight="1" x14ac:dyDescent="0.15">
      <c r="A6" s="3" t="s">
        <v>19</v>
      </c>
      <c r="B6" s="4" t="s">
        <v>20</v>
      </c>
      <c r="C6" s="4" t="s">
        <v>11</v>
      </c>
      <c r="D6" s="4">
        <v>1</v>
      </c>
      <c r="E6" s="4" t="s">
        <v>21</v>
      </c>
      <c r="F6" s="4">
        <v>4</v>
      </c>
      <c r="G6" s="4" t="s">
        <v>13</v>
      </c>
      <c r="H6" s="4" t="s">
        <v>22</v>
      </c>
    </row>
    <row r="7" spans="1:8" ht="15.75" customHeight="1" x14ac:dyDescent="0.15">
      <c r="A7" s="4"/>
      <c r="B7" s="4"/>
      <c r="C7" s="4"/>
      <c r="D7" s="4"/>
      <c r="E7" s="4"/>
      <c r="F7" s="4"/>
      <c r="G7" s="4"/>
      <c r="H7" s="4"/>
    </row>
    <row r="8" spans="1:8" ht="15.75" customHeight="1" x14ac:dyDescent="0.15">
      <c r="A8" s="2" t="s">
        <v>23</v>
      </c>
      <c r="B8" s="2"/>
      <c r="C8" s="2"/>
      <c r="D8" s="2"/>
      <c r="E8" s="2"/>
      <c r="F8" s="2"/>
      <c r="G8" s="2"/>
      <c r="H8" s="2"/>
    </row>
    <row r="9" spans="1:8" ht="15.75" customHeight="1" x14ac:dyDescent="0.15">
      <c r="A9" s="3" t="s">
        <v>24</v>
      </c>
      <c r="B9" s="4" t="s">
        <v>25</v>
      </c>
      <c r="C9" s="4" t="s">
        <v>11</v>
      </c>
      <c r="D9" s="4">
        <v>1</v>
      </c>
      <c r="E9" s="4" t="s">
        <v>12</v>
      </c>
      <c r="F9" s="4">
        <v>20</v>
      </c>
      <c r="G9" s="4" t="s">
        <v>13</v>
      </c>
      <c r="H9" s="4" t="s">
        <v>26</v>
      </c>
    </row>
    <row r="10" spans="1:8" ht="15.75" customHeight="1" x14ac:dyDescent="0.15">
      <c r="A10" s="3" t="s">
        <v>27</v>
      </c>
      <c r="B10" s="4" t="s">
        <v>28</v>
      </c>
      <c r="C10" s="4" t="s">
        <v>11</v>
      </c>
      <c r="D10" s="4">
        <v>1</v>
      </c>
      <c r="E10" s="4" t="s">
        <v>17</v>
      </c>
      <c r="F10" s="4">
        <v>10</v>
      </c>
      <c r="G10" s="4" t="s">
        <v>13</v>
      </c>
      <c r="H10" s="4" t="s">
        <v>29</v>
      </c>
    </row>
    <row r="11" spans="1:8" ht="15.75" customHeight="1" x14ac:dyDescent="0.15">
      <c r="A11" s="3" t="s">
        <v>30</v>
      </c>
      <c r="B11" s="4" t="s">
        <v>31</v>
      </c>
      <c r="C11" s="4" t="s">
        <v>11</v>
      </c>
      <c r="D11" s="4">
        <v>1</v>
      </c>
      <c r="E11" s="4" t="s">
        <v>17</v>
      </c>
      <c r="F11" s="4">
        <v>8</v>
      </c>
      <c r="G11" s="4" t="s">
        <v>13</v>
      </c>
      <c r="H11" s="4" t="s">
        <v>32</v>
      </c>
    </row>
    <row r="12" spans="1:8" ht="15.75" customHeight="1" x14ac:dyDescent="0.15">
      <c r="A12" s="4" t="s">
        <v>33</v>
      </c>
      <c r="B12" s="4" t="s">
        <v>34</v>
      </c>
      <c r="C12" s="4" t="s">
        <v>35</v>
      </c>
      <c r="D12" s="4">
        <v>3</v>
      </c>
      <c r="E12" s="4" t="s">
        <v>17</v>
      </c>
      <c r="F12" s="4">
        <v>8</v>
      </c>
      <c r="G12" s="4" t="s">
        <v>13</v>
      </c>
      <c r="H12" s="4" t="s">
        <v>36</v>
      </c>
    </row>
    <row r="13" spans="1:8" ht="15.75" customHeight="1" x14ac:dyDescent="0.15">
      <c r="A13" s="3" t="s">
        <v>37</v>
      </c>
      <c r="B13" s="4" t="s">
        <v>38</v>
      </c>
      <c r="C13" s="4" t="s">
        <v>11</v>
      </c>
      <c r="D13" s="4">
        <v>1</v>
      </c>
      <c r="E13" s="4" t="s">
        <v>17</v>
      </c>
      <c r="F13" s="4">
        <v>8</v>
      </c>
      <c r="G13" s="4" t="s">
        <v>13</v>
      </c>
      <c r="H13" s="4" t="s">
        <v>39</v>
      </c>
    </row>
    <row r="14" spans="1:8" ht="15.75" customHeight="1" x14ac:dyDescent="0.15">
      <c r="A14" s="4"/>
      <c r="B14" s="4"/>
      <c r="C14" s="4"/>
      <c r="D14" s="4"/>
      <c r="E14" s="4"/>
      <c r="F14" s="4"/>
      <c r="G14" s="4"/>
      <c r="H14" s="4"/>
    </row>
    <row r="15" spans="1:8" ht="15.75" customHeight="1" x14ac:dyDescent="0.15">
      <c r="A15" s="2" t="s">
        <v>40</v>
      </c>
      <c r="B15" s="2"/>
      <c r="C15" s="2"/>
      <c r="D15" s="2"/>
      <c r="E15" s="2"/>
      <c r="F15" s="2"/>
      <c r="G15" s="2"/>
      <c r="H15" s="2"/>
    </row>
    <row r="16" spans="1:8" ht="15.75" customHeight="1" x14ac:dyDescent="0.15">
      <c r="A16" s="3" t="s">
        <v>41</v>
      </c>
      <c r="B16" s="4" t="s">
        <v>42</v>
      </c>
      <c r="C16" s="4" t="s">
        <v>11</v>
      </c>
      <c r="D16" s="4">
        <v>1</v>
      </c>
      <c r="E16" s="4" t="s">
        <v>12</v>
      </c>
      <c r="F16" s="4">
        <v>20</v>
      </c>
      <c r="G16" s="4" t="s">
        <v>13</v>
      </c>
      <c r="H16" s="4" t="s">
        <v>43</v>
      </c>
    </row>
    <row r="17" spans="1:8" ht="15.75" customHeight="1" x14ac:dyDescent="0.15">
      <c r="A17" s="3" t="s">
        <v>44</v>
      </c>
      <c r="B17" s="4" t="s">
        <v>45</v>
      </c>
      <c r="C17" s="4" t="s">
        <v>11</v>
      </c>
      <c r="D17" s="4">
        <v>1</v>
      </c>
      <c r="E17" s="4" t="s">
        <v>17</v>
      </c>
      <c r="F17" s="4">
        <v>10</v>
      </c>
      <c r="G17" s="4" t="s">
        <v>13</v>
      </c>
      <c r="H17" s="4" t="s">
        <v>46</v>
      </c>
    </row>
    <row r="18" spans="1:8" ht="15.75" customHeight="1" x14ac:dyDescent="0.15">
      <c r="A18" s="3" t="s">
        <v>47</v>
      </c>
      <c r="B18" s="4" t="s">
        <v>48</v>
      </c>
      <c r="C18" s="4" t="s">
        <v>11</v>
      </c>
      <c r="D18" s="4">
        <v>1</v>
      </c>
      <c r="E18" s="4" t="s">
        <v>17</v>
      </c>
      <c r="F18" s="4">
        <v>8</v>
      </c>
      <c r="G18" s="4" t="s">
        <v>13</v>
      </c>
      <c r="H18" s="4" t="s">
        <v>49</v>
      </c>
    </row>
    <row r="19" spans="1:8" ht="15.75" customHeight="1" x14ac:dyDescent="0.15">
      <c r="A19" s="3" t="s">
        <v>50</v>
      </c>
      <c r="B19" s="4" t="s">
        <v>51</v>
      </c>
      <c r="C19" s="4" t="s">
        <v>35</v>
      </c>
      <c r="D19" s="4">
        <v>4</v>
      </c>
      <c r="E19" s="4" t="s">
        <v>17</v>
      </c>
      <c r="F19" s="4">
        <v>8</v>
      </c>
      <c r="G19" s="4" t="s">
        <v>13</v>
      </c>
      <c r="H19" s="4" t="s">
        <v>52</v>
      </c>
    </row>
    <row r="20" spans="1:8" ht="15.75" customHeight="1" x14ac:dyDescent="0.15">
      <c r="A20" s="3" t="s">
        <v>53</v>
      </c>
      <c r="B20" s="4" t="s">
        <v>54</v>
      </c>
      <c r="C20" s="4" t="s">
        <v>11</v>
      </c>
      <c r="D20" s="4">
        <v>1</v>
      </c>
      <c r="E20" s="4" t="s">
        <v>21</v>
      </c>
      <c r="F20" s="4">
        <v>6</v>
      </c>
      <c r="G20" s="4" t="s">
        <v>13</v>
      </c>
      <c r="H20" s="4" t="s">
        <v>55</v>
      </c>
    </row>
    <row r="21" spans="1:8" ht="15.75" customHeight="1" x14ac:dyDescent="0.15">
      <c r="A21" s="3" t="s">
        <v>56</v>
      </c>
      <c r="B21" s="4" t="s">
        <v>57</v>
      </c>
      <c r="C21" s="4" t="s">
        <v>58</v>
      </c>
      <c r="D21" s="4">
        <v>1</v>
      </c>
      <c r="E21" s="4" t="s">
        <v>17</v>
      </c>
      <c r="F21" s="4">
        <v>10</v>
      </c>
      <c r="G21" s="4" t="s">
        <v>13</v>
      </c>
      <c r="H21" s="4" t="s">
        <v>59</v>
      </c>
    </row>
    <row r="22" spans="1:8" ht="15.75" customHeight="1" x14ac:dyDescent="0.15">
      <c r="A22" s="4" t="s">
        <v>60</v>
      </c>
      <c r="B22" s="4" t="s">
        <v>61</v>
      </c>
      <c r="C22" s="4" t="s">
        <v>35</v>
      </c>
      <c r="D22" s="4">
        <v>9</v>
      </c>
      <c r="E22" s="4" t="s">
        <v>17</v>
      </c>
      <c r="F22" s="4">
        <v>10</v>
      </c>
      <c r="G22" s="4" t="s">
        <v>13</v>
      </c>
      <c r="H22" s="4" t="s">
        <v>62</v>
      </c>
    </row>
    <row r="23" spans="1:8" ht="15.75" customHeight="1" x14ac:dyDescent="0.15">
      <c r="A23" s="4"/>
      <c r="B23" s="4"/>
      <c r="C23" s="4"/>
      <c r="D23" s="4"/>
      <c r="E23" s="4"/>
      <c r="F23" s="4"/>
      <c r="G23" s="4"/>
      <c r="H23" s="4"/>
    </row>
    <row r="24" spans="1:8" ht="15.75" customHeight="1" x14ac:dyDescent="0.15">
      <c r="A24" s="2" t="s">
        <v>63</v>
      </c>
      <c r="B24" s="2"/>
      <c r="C24" s="2"/>
      <c r="D24" s="2"/>
      <c r="E24" s="2"/>
      <c r="F24" s="2"/>
      <c r="G24" s="2"/>
      <c r="H24" s="2"/>
    </row>
    <row r="25" spans="1:8" ht="15.75" customHeight="1" x14ac:dyDescent="0.15">
      <c r="A25" s="3" t="s">
        <v>64</v>
      </c>
      <c r="B25" s="4" t="s">
        <v>65</v>
      </c>
      <c r="C25" s="4" t="s">
        <v>11</v>
      </c>
      <c r="D25" s="4">
        <v>1</v>
      </c>
      <c r="E25" s="4" t="s">
        <v>12</v>
      </c>
      <c r="F25" s="4">
        <v>16</v>
      </c>
      <c r="G25" s="4" t="s">
        <v>13</v>
      </c>
      <c r="H25" s="4" t="s">
        <v>66</v>
      </c>
    </row>
    <row r="26" spans="1:8" ht="15.75" customHeight="1" x14ac:dyDescent="0.15">
      <c r="A26" s="3" t="s">
        <v>67</v>
      </c>
      <c r="B26" s="4" t="s">
        <v>68</v>
      </c>
      <c r="C26" s="4" t="s">
        <v>11</v>
      </c>
      <c r="D26" s="4">
        <v>1</v>
      </c>
      <c r="E26" s="4" t="s">
        <v>17</v>
      </c>
      <c r="F26" s="4">
        <v>8</v>
      </c>
      <c r="G26" s="4" t="s">
        <v>13</v>
      </c>
      <c r="H26" s="4" t="s">
        <v>69</v>
      </c>
    </row>
    <row r="27" spans="1:8" ht="15.75" customHeight="1" x14ac:dyDescent="0.15">
      <c r="A27" s="3" t="s">
        <v>70</v>
      </c>
      <c r="B27" s="4" t="s">
        <v>71</v>
      </c>
      <c r="C27" s="4" t="s">
        <v>11</v>
      </c>
      <c r="D27" s="4">
        <v>1</v>
      </c>
      <c r="E27" s="4" t="s">
        <v>21</v>
      </c>
      <c r="F27" s="4">
        <v>6</v>
      </c>
      <c r="G27" s="4" t="s">
        <v>13</v>
      </c>
      <c r="H27" s="4" t="s">
        <v>72</v>
      </c>
    </row>
    <row r="28" spans="1:8" ht="15.75" customHeight="1" x14ac:dyDescent="0.15">
      <c r="A28" s="4" t="s">
        <v>73</v>
      </c>
      <c r="B28" s="4" t="s">
        <v>74</v>
      </c>
      <c r="C28" s="4" t="s">
        <v>35</v>
      </c>
      <c r="D28" s="4">
        <v>3</v>
      </c>
      <c r="E28" s="4" t="s">
        <v>17</v>
      </c>
      <c r="F28" s="4">
        <v>8</v>
      </c>
      <c r="G28" s="4" t="s">
        <v>13</v>
      </c>
      <c r="H28" s="4" t="s">
        <v>75</v>
      </c>
    </row>
    <row r="29" spans="1:8" ht="15.75" customHeight="1" x14ac:dyDescent="0.15">
      <c r="A29" s="4"/>
      <c r="B29" s="4"/>
      <c r="C29" s="4"/>
      <c r="D29" s="4"/>
      <c r="E29" s="4"/>
      <c r="F29" s="4"/>
      <c r="G29" s="4"/>
      <c r="H29" s="4"/>
    </row>
    <row r="30" spans="1:8" ht="15.75" customHeight="1" x14ac:dyDescent="0.15">
      <c r="A30" s="2" t="s">
        <v>76</v>
      </c>
      <c r="B30" s="2"/>
      <c r="C30" s="2"/>
      <c r="D30" s="2"/>
      <c r="E30" s="2"/>
      <c r="F30" s="2"/>
      <c r="G30" s="2"/>
      <c r="H30" s="2"/>
    </row>
    <row r="31" spans="1:8" ht="15.75" customHeight="1" x14ac:dyDescent="0.15">
      <c r="A31" s="3" t="s">
        <v>77</v>
      </c>
      <c r="B31" s="4" t="s">
        <v>78</v>
      </c>
      <c r="C31" s="4" t="s">
        <v>11</v>
      </c>
      <c r="D31" s="4">
        <v>1</v>
      </c>
      <c r="E31" s="4" t="s">
        <v>12</v>
      </c>
      <c r="F31" s="4">
        <v>16</v>
      </c>
      <c r="G31" s="4" t="s">
        <v>13</v>
      </c>
      <c r="H31" s="4" t="s">
        <v>79</v>
      </c>
    </row>
    <row r="32" spans="1:8" ht="15.75" customHeight="1" x14ac:dyDescent="0.15">
      <c r="A32" s="3" t="s">
        <v>80</v>
      </c>
      <c r="B32" s="4" t="s">
        <v>81</v>
      </c>
      <c r="C32" s="4" t="s">
        <v>11</v>
      </c>
      <c r="D32" s="4">
        <v>1</v>
      </c>
      <c r="E32" s="4" t="s">
        <v>17</v>
      </c>
      <c r="F32" s="4">
        <v>8</v>
      </c>
      <c r="G32" s="4" t="s">
        <v>13</v>
      </c>
      <c r="H32" s="4" t="s">
        <v>82</v>
      </c>
    </row>
    <row r="33" spans="1:8" ht="15.75" customHeight="1" x14ac:dyDescent="0.15">
      <c r="A33" s="3" t="s">
        <v>83</v>
      </c>
      <c r="B33" s="4" t="s">
        <v>84</v>
      </c>
      <c r="C33" s="4" t="s">
        <v>11</v>
      </c>
      <c r="D33" s="4">
        <v>1</v>
      </c>
      <c r="E33" s="4" t="s">
        <v>17</v>
      </c>
      <c r="F33" s="4">
        <v>6</v>
      </c>
      <c r="G33" s="4" t="s">
        <v>13</v>
      </c>
      <c r="H33" s="4" t="s">
        <v>85</v>
      </c>
    </row>
    <row r="34" spans="1:8" ht="15.75" customHeight="1" x14ac:dyDescent="0.15">
      <c r="A34" s="4"/>
      <c r="B34" s="4"/>
      <c r="C34" s="4"/>
      <c r="D34" s="4"/>
      <c r="E34" s="4"/>
      <c r="F34" s="4"/>
      <c r="G34" s="4"/>
      <c r="H34" s="4"/>
    </row>
    <row r="35" spans="1:8" ht="15.75" customHeight="1" x14ac:dyDescent="0.15">
      <c r="A35" s="2" t="s">
        <v>86</v>
      </c>
      <c r="B35" s="2"/>
      <c r="C35" s="2"/>
      <c r="D35" s="2"/>
      <c r="E35" s="2"/>
      <c r="F35" s="2"/>
      <c r="G35" s="2"/>
      <c r="H35" s="2"/>
    </row>
    <row r="36" spans="1:8" ht="15.75" customHeight="1" x14ac:dyDescent="0.15">
      <c r="A36" s="3" t="s">
        <v>87</v>
      </c>
      <c r="B36" s="4" t="s">
        <v>88</v>
      </c>
      <c r="C36" s="4" t="s">
        <v>58</v>
      </c>
      <c r="D36" s="4">
        <v>1</v>
      </c>
      <c r="E36" s="4" t="s">
        <v>17</v>
      </c>
      <c r="F36" s="4">
        <v>8</v>
      </c>
      <c r="G36" s="4" t="s">
        <v>13</v>
      </c>
      <c r="H36" s="4" t="s">
        <v>89</v>
      </c>
    </row>
    <row r="37" spans="1:8" ht="15.75" customHeight="1" x14ac:dyDescent="0.15">
      <c r="A37" s="4" t="s">
        <v>90</v>
      </c>
      <c r="B37" s="4" t="s">
        <v>91</v>
      </c>
      <c r="C37" s="4" t="s">
        <v>35</v>
      </c>
      <c r="D37" s="4">
        <v>10</v>
      </c>
      <c r="E37" s="4" t="s">
        <v>17</v>
      </c>
      <c r="F37" s="4">
        <v>8</v>
      </c>
      <c r="G37" s="4" t="s">
        <v>13</v>
      </c>
      <c r="H37" s="4" t="s">
        <v>92</v>
      </c>
    </row>
    <row r="38" spans="1:8" ht="15.75" customHeight="1" x14ac:dyDescent="0.15">
      <c r="A38" s="3" t="s">
        <v>93</v>
      </c>
      <c r="B38" s="4" t="s">
        <v>94</v>
      </c>
      <c r="C38" s="4" t="s">
        <v>58</v>
      </c>
      <c r="D38" s="4">
        <v>1</v>
      </c>
      <c r="E38" s="4" t="s">
        <v>17</v>
      </c>
      <c r="F38" s="4">
        <v>8</v>
      </c>
      <c r="G38" s="4" t="s">
        <v>13</v>
      </c>
      <c r="H38" s="4" t="s">
        <v>95</v>
      </c>
    </row>
    <row r="39" spans="1:8" ht="15.75" customHeight="1" x14ac:dyDescent="0.15">
      <c r="A39" s="3" t="s">
        <v>96</v>
      </c>
      <c r="B39" s="4" t="s">
        <v>97</v>
      </c>
      <c r="C39" s="4" t="s">
        <v>58</v>
      </c>
      <c r="D39" s="4">
        <v>1</v>
      </c>
      <c r="E39" s="4" t="s">
        <v>17</v>
      </c>
      <c r="F39" s="4">
        <v>8</v>
      </c>
      <c r="G39" s="4" t="s">
        <v>13</v>
      </c>
      <c r="H39" s="4" t="s">
        <v>98</v>
      </c>
    </row>
    <row r="40" spans="1:8" ht="15.75" customHeight="1" x14ac:dyDescent="0.15">
      <c r="A40" s="4" t="s">
        <v>99</v>
      </c>
      <c r="B40" s="4" t="s">
        <v>100</v>
      </c>
      <c r="C40" s="4" t="s">
        <v>35</v>
      </c>
      <c r="D40" s="4" t="s">
        <v>101</v>
      </c>
      <c r="E40" s="4" t="s">
        <v>17</v>
      </c>
      <c r="F40" s="4">
        <v>10</v>
      </c>
      <c r="G40" s="4" t="s">
        <v>13</v>
      </c>
      <c r="H40" s="4" t="s">
        <v>102</v>
      </c>
    </row>
    <row r="41" spans="1:8" ht="15.75" customHeight="1" x14ac:dyDescent="0.15">
      <c r="A41" s="3" t="s">
        <v>103</v>
      </c>
      <c r="B41" s="4" t="s">
        <v>104</v>
      </c>
      <c r="C41" s="4" t="s">
        <v>58</v>
      </c>
      <c r="D41" s="4">
        <v>1</v>
      </c>
      <c r="E41" s="4" t="s">
        <v>17</v>
      </c>
      <c r="F41" s="4">
        <v>8</v>
      </c>
      <c r="G41" s="4" t="s">
        <v>13</v>
      </c>
      <c r="H41" s="4" t="s">
        <v>105</v>
      </c>
    </row>
    <row r="42" spans="1:8" ht="15.75" customHeight="1" x14ac:dyDescent="0.15">
      <c r="A42" s="4" t="s">
        <v>106</v>
      </c>
      <c r="B42" s="4" t="s">
        <v>107</v>
      </c>
      <c r="C42" s="4" t="s">
        <v>35</v>
      </c>
      <c r="D42" s="4">
        <v>15</v>
      </c>
      <c r="E42" s="4" t="s">
        <v>21</v>
      </c>
      <c r="F42" s="4">
        <v>6</v>
      </c>
      <c r="G42" s="4" t="s">
        <v>13</v>
      </c>
      <c r="H42" s="4" t="s">
        <v>108</v>
      </c>
    </row>
    <row r="43" spans="1:8" ht="15.75" customHeight="1" x14ac:dyDescent="0.15">
      <c r="A43" s="4"/>
      <c r="B43" s="4"/>
      <c r="C43" s="4"/>
      <c r="D43" s="4"/>
      <c r="E43" s="4"/>
      <c r="F43" s="4"/>
      <c r="G43" s="4"/>
      <c r="H43" s="4"/>
    </row>
    <row r="44" spans="1:8" ht="15.75" customHeight="1" x14ac:dyDescent="0.15">
      <c r="A44" s="2" t="s">
        <v>109</v>
      </c>
      <c r="B44" s="2"/>
      <c r="C44" s="2"/>
      <c r="D44" s="2"/>
      <c r="E44" s="2"/>
      <c r="F44" s="2"/>
      <c r="G44" s="2"/>
      <c r="H44" s="2"/>
    </row>
    <row r="45" spans="1:8" ht="15.75" customHeight="1" x14ac:dyDescent="0.15">
      <c r="A45" s="3" t="s">
        <v>110</v>
      </c>
      <c r="B45" s="4" t="s">
        <v>111</v>
      </c>
      <c r="C45" s="4" t="s">
        <v>11</v>
      </c>
      <c r="D45" s="4">
        <v>1</v>
      </c>
      <c r="E45" s="4" t="s">
        <v>17</v>
      </c>
      <c r="F45" s="4">
        <v>8</v>
      </c>
      <c r="G45" s="4" t="s">
        <v>13</v>
      </c>
      <c r="H45" s="4" t="s">
        <v>112</v>
      </c>
    </row>
    <row r="46" spans="1:8" ht="15.75" customHeight="1" x14ac:dyDescent="0.15">
      <c r="A46" s="3" t="s">
        <v>113</v>
      </c>
      <c r="B46" s="4" t="s">
        <v>111</v>
      </c>
      <c r="C46" s="4" t="s">
        <v>11</v>
      </c>
      <c r="D46" s="4">
        <v>1</v>
      </c>
      <c r="E46" s="4" t="s">
        <v>17</v>
      </c>
      <c r="F46" s="4">
        <v>8</v>
      </c>
      <c r="G46" s="4" t="s">
        <v>13</v>
      </c>
      <c r="H46" s="4" t="s">
        <v>114</v>
      </c>
    </row>
    <row r="47" spans="1:8" ht="15.75" customHeight="1" x14ac:dyDescent="0.15">
      <c r="A47" s="3" t="s">
        <v>115</v>
      </c>
      <c r="B47" s="4" t="s">
        <v>111</v>
      </c>
      <c r="C47" s="4" t="s">
        <v>11</v>
      </c>
      <c r="D47" s="4">
        <v>1</v>
      </c>
      <c r="E47" s="4" t="s">
        <v>17</v>
      </c>
      <c r="F47" s="4">
        <v>8</v>
      </c>
      <c r="G47" s="4" t="s">
        <v>13</v>
      </c>
      <c r="H47" s="4" t="s">
        <v>116</v>
      </c>
    </row>
    <row r="48" spans="1:8" ht="15.75" customHeight="1" x14ac:dyDescent="0.15">
      <c r="A48" s="3" t="s">
        <v>117</v>
      </c>
      <c r="B48" s="4" t="s">
        <v>111</v>
      </c>
      <c r="C48" s="4" t="s">
        <v>11</v>
      </c>
      <c r="D48" s="4">
        <v>1</v>
      </c>
      <c r="E48" s="4" t="s">
        <v>17</v>
      </c>
      <c r="F48" s="4">
        <v>8</v>
      </c>
      <c r="G48" s="4" t="s">
        <v>13</v>
      </c>
      <c r="H48" s="4" t="s">
        <v>118</v>
      </c>
    </row>
    <row r="49" spans="1:8" ht="15.75" customHeight="1" x14ac:dyDescent="0.15">
      <c r="A49" s="4" t="s">
        <v>119</v>
      </c>
      <c r="B49" s="4" t="s">
        <v>120</v>
      </c>
      <c r="C49" s="4" t="s">
        <v>35</v>
      </c>
      <c r="D49" s="4">
        <v>7</v>
      </c>
      <c r="E49" s="4" t="s">
        <v>21</v>
      </c>
      <c r="F49" s="4">
        <v>4</v>
      </c>
      <c r="G49" s="4" t="s">
        <v>13</v>
      </c>
      <c r="H49" s="4" t="s">
        <v>121</v>
      </c>
    </row>
    <row r="50" spans="1:8" ht="15.75" customHeight="1" x14ac:dyDescent="0.15">
      <c r="A50" s="4"/>
      <c r="B50" s="4"/>
      <c r="C50" s="4"/>
      <c r="D50" s="4"/>
      <c r="E50" s="4"/>
      <c r="F50" s="4"/>
      <c r="G50" s="4"/>
      <c r="H50" s="4"/>
    </row>
    <row r="51" spans="1:8" ht="15.75" customHeight="1" x14ac:dyDescent="0.15">
      <c r="A51" s="2" t="s">
        <v>122</v>
      </c>
      <c r="B51" s="2"/>
      <c r="C51" s="2"/>
      <c r="D51" s="2"/>
      <c r="E51" s="2"/>
      <c r="F51" s="2"/>
      <c r="G51" s="2"/>
      <c r="H51" s="2"/>
    </row>
    <row r="52" spans="1:8" ht="15.75" customHeight="1" x14ac:dyDescent="0.15">
      <c r="A52" s="4" t="s">
        <v>123</v>
      </c>
      <c r="B52" s="4" t="s">
        <v>124</v>
      </c>
      <c r="C52" s="4" t="s">
        <v>35</v>
      </c>
      <c r="D52" s="4" t="s">
        <v>125</v>
      </c>
      <c r="E52" s="4" t="s">
        <v>17</v>
      </c>
      <c r="F52" s="4">
        <v>8</v>
      </c>
      <c r="G52" s="4" t="s">
        <v>13</v>
      </c>
      <c r="H52" s="4" t="s">
        <v>126</v>
      </c>
    </row>
    <row r="53" spans="1:8" ht="15.75" customHeight="1" x14ac:dyDescent="0.15">
      <c r="A53" s="4"/>
      <c r="B53" s="4"/>
      <c r="C53" s="4"/>
      <c r="D53" s="4"/>
      <c r="E53" s="4"/>
      <c r="F53" s="4"/>
      <c r="G53" s="4"/>
      <c r="H53" s="4"/>
    </row>
    <row r="54" spans="1:8" ht="15.75" customHeight="1" x14ac:dyDescent="0.15">
      <c r="A54" s="5"/>
      <c r="B54" s="5"/>
      <c r="C54" s="5"/>
      <c r="D54" s="5" t="s">
        <v>127</v>
      </c>
      <c r="E54" s="5"/>
      <c r="F54" s="5" t="e" cm="1">
        <f t="array" ref="F54">SUMPRODUCT((C3:C52&lt;&gt;"")*ISNUMBER(D3:D52)*D3:D52)</f>
        <v>#VALUE!</v>
      </c>
      <c r="G54" s="5"/>
      <c r="H54" s="5"/>
    </row>
    <row r="55" spans="1:8" ht="15.75" customHeight="1" x14ac:dyDescent="0.15">
      <c r="A55" s="5"/>
      <c r="B55" s="5"/>
      <c r="C55" s="5"/>
      <c r="D55" s="5" t="s">
        <v>128</v>
      </c>
      <c r="E55" s="5"/>
      <c r="F55" s="5">
        <v>80</v>
      </c>
      <c r="G55" s="5"/>
      <c r="H55" s="5"/>
    </row>
    <row r="56" spans="1:8" ht="15.75" customHeight="1" x14ac:dyDescent="0.15">
      <c r="A56" s="5"/>
      <c r="B56" s="5"/>
      <c r="C56" s="5"/>
      <c r="D56" s="5" t="s">
        <v>129</v>
      </c>
      <c r="E56" s="5"/>
      <c r="F56" s="5">
        <f>SUMIF(C3:C52,"Static",F3:F52)+SUMIF(C3:C52,"Template",F3:F52)+SUMIF(C3:C52,"Collection",F3:F52)+F55</f>
        <v>410</v>
      </c>
      <c r="G56" s="5"/>
      <c r="H56" s="5"/>
    </row>
    <row r="57" spans="1:8" ht="15.75" customHeight="1" x14ac:dyDescent="0.15">
      <c r="A57" s="4"/>
      <c r="B57" s="4"/>
      <c r="C57" s="4"/>
      <c r="D57" s="4"/>
      <c r="E57" s="4"/>
      <c r="F57" s="4"/>
      <c r="G57" s="4"/>
      <c r="H57" s="4"/>
    </row>
    <row r="58" spans="1:8" ht="15.75" customHeight="1" x14ac:dyDescent="0.15">
      <c r="A58" s="4"/>
      <c r="B58" s="4"/>
      <c r="C58" s="4"/>
      <c r="D58" s="4"/>
      <c r="E58" s="4"/>
      <c r="F58" s="4"/>
      <c r="G58" s="4"/>
      <c r="H58" s="4"/>
    </row>
  </sheetData>
  <hyperlinks>
    <hyperlink ref="A4" r:id="rId1" xr:uid="{00000000-0004-0000-0000-000000000000}"/>
    <hyperlink ref="A5" r:id="rId2" xr:uid="{00000000-0004-0000-0000-000001000000}"/>
    <hyperlink ref="A6" r:id="rId3" xr:uid="{00000000-0004-0000-0000-000002000000}"/>
    <hyperlink ref="A8" r:id="rId4" xr:uid="{00000000-0004-0000-0000-000003000000}"/>
    <hyperlink ref="A9" r:id="rId5" xr:uid="{00000000-0004-0000-0000-000004000000}"/>
    <hyperlink ref="A10" r:id="rId6" xr:uid="{00000000-0004-0000-0000-000005000000}"/>
    <hyperlink ref="A11" r:id="rId7" xr:uid="{00000000-0004-0000-0000-000006000000}"/>
    <hyperlink ref="A19" r:id="rId8" xr:uid="{00000000-0004-0000-0000-000007000000}"/>
    <hyperlink ref="A30" r:id="rId9" xr:uid="{00000000-0004-0000-0000-00000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6EF2-3333-8647-AB9B-87554FE0F776}">
  <dimension ref="A1:P39"/>
  <sheetViews>
    <sheetView zoomScale="170" zoomScaleNormal="170" workbookViewId="0">
      <selection activeCell="C37" sqref="C37"/>
    </sheetView>
  </sheetViews>
  <sheetFormatPr baseColWidth="10" defaultRowHeight="13" x14ac:dyDescent="0.15"/>
  <cols>
    <col min="1" max="1" width="22.33203125" customWidth="1"/>
  </cols>
  <sheetData>
    <row r="1" spans="1:16" ht="14" x14ac:dyDescent="0.15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 ht="14" x14ac:dyDescent="0.15">
      <c r="A3" s="1" t="s">
        <v>131</v>
      </c>
      <c r="B3" s="1" t="s">
        <v>132</v>
      </c>
      <c r="C3" s="1"/>
      <c r="D3" s="1" t="s">
        <v>133</v>
      </c>
      <c r="E3" s="1"/>
      <c r="F3" s="1" t="s">
        <v>134</v>
      </c>
      <c r="G3" s="1"/>
      <c r="H3" s="1" t="s">
        <v>135</v>
      </c>
      <c r="I3" s="1"/>
      <c r="J3" s="1" t="s">
        <v>136</v>
      </c>
      <c r="K3" s="1"/>
      <c r="L3" s="1" t="s">
        <v>137</v>
      </c>
      <c r="M3" s="1"/>
      <c r="N3" s="1" t="s">
        <v>16</v>
      </c>
      <c r="O3" s="1"/>
      <c r="P3" s="1"/>
    </row>
    <row r="4" spans="1:16" ht="14" x14ac:dyDescent="0.15">
      <c r="A4" s="6" t="s">
        <v>138</v>
      </c>
      <c r="B4" s="7">
        <v>46084</v>
      </c>
      <c r="C4" s="7">
        <v>46091</v>
      </c>
      <c r="D4" s="7">
        <v>46098</v>
      </c>
      <c r="E4" s="7">
        <v>46105</v>
      </c>
      <c r="F4" s="7">
        <v>46112</v>
      </c>
      <c r="G4" s="7">
        <v>46119</v>
      </c>
      <c r="H4" s="7">
        <v>46126</v>
      </c>
      <c r="I4" s="7">
        <v>46133</v>
      </c>
      <c r="J4" s="7">
        <v>46140</v>
      </c>
      <c r="K4" s="7">
        <v>46147</v>
      </c>
      <c r="L4" s="7">
        <v>46154</v>
      </c>
      <c r="M4" s="7">
        <v>46161</v>
      </c>
      <c r="N4" s="7">
        <v>46168</v>
      </c>
      <c r="O4" s="7">
        <v>46175</v>
      </c>
      <c r="P4" s="6"/>
    </row>
    <row r="5" spans="1:16" ht="14" x14ac:dyDescent="0.15">
      <c r="A5" s="8" t="s">
        <v>139</v>
      </c>
      <c r="B5" s="9" t="s">
        <v>139</v>
      </c>
    </row>
    <row r="6" spans="1:16" ht="14" x14ac:dyDescent="0.15">
      <c r="A6" s="8" t="s">
        <v>140</v>
      </c>
      <c r="C6" s="10" t="s">
        <v>141</v>
      </c>
      <c r="D6" s="10"/>
      <c r="E6" s="10"/>
      <c r="F6" s="10"/>
      <c r="G6" s="10"/>
      <c r="H6" s="10"/>
      <c r="I6" s="10"/>
      <c r="J6" s="10"/>
      <c r="K6" s="10"/>
    </row>
    <row r="7" spans="1:16" ht="14" x14ac:dyDescent="0.15">
      <c r="A7" s="8" t="s">
        <v>142</v>
      </c>
      <c r="E7" s="10" t="s">
        <v>143</v>
      </c>
      <c r="F7" s="10"/>
      <c r="G7" s="10"/>
    </row>
    <row r="8" spans="1:16" ht="14" x14ac:dyDescent="0.15">
      <c r="A8" s="8" t="s">
        <v>144</v>
      </c>
      <c r="F8" s="11" t="s">
        <v>144</v>
      </c>
      <c r="G8" s="11"/>
      <c r="H8" s="11"/>
      <c r="I8" s="11"/>
    </row>
    <row r="9" spans="1:16" ht="14" x14ac:dyDescent="0.15">
      <c r="A9" s="8" t="s">
        <v>145</v>
      </c>
      <c r="B9" s="12" t="s">
        <v>146</v>
      </c>
      <c r="E9" s="12" t="s">
        <v>147</v>
      </c>
      <c r="H9" s="12" t="s">
        <v>147</v>
      </c>
      <c r="J9" s="12" t="s">
        <v>147</v>
      </c>
    </row>
    <row r="10" spans="1:16" ht="14" x14ac:dyDescent="0.15">
      <c r="A10" s="8" t="s">
        <v>148</v>
      </c>
      <c r="E10" s="13" t="s">
        <v>148</v>
      </c>
      <c r="G10" s="13" t="s">
        <v>148</v>
      </c>
      <c r="I10" s="13" t="s">
        <v>148</v>
      </c>
      <c r="K10" s="13" t="s">
        <v>148</v>
      </c>
      <c r="L10" s="13" t="s">
        <v>148</v>
      </c>
    </row>
    <row r="11" spans="1:16" ht="14" x14ac:dyDescent="0.15">
      <c r="A11" s="8" t="s">
        <v>149</v>
      </c>
      <c r="B11" s="9" t="s">
        <v>149</v>
      </c>
      <c r="C11" s="9"/>
    </row>
    <row r="12" spans="1:16" ht="14" x14ac:dyDescent="0.15">
      <c r="A12" s="8" t="s">
        <v>150</v>
      </c>
      <c r="K12" s="14" t="s">
        <v>150</v>
      </c>
      <c r="L12" s="14"/>
    </row>
    <row r="14" spans="1:16" ht="14" x14ac:dyDescent="0.15">
      <c r="A14" s="1" t="s">
        <v>151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" x14ac:dyDescent="0.15">
      <c r="B15" s="15" t="s">
        <v>152</v>
      </c>
    </row>
    <row r="16" spans="1:16" ht="14" x14ac:dyDescent="0.15">
      <c r="A16" s="16" t="s">
        <v>153</v>
      </c>
      <c r="B16" s="16"/>
      <c r="C16" s="16" t="s">
        <v>154</v>
      </c>
      <c r="D16" s="16" t="s">
        <v>155</v>
      </c>
      <c r="E16" s="16" t="s">
        <v>156</v>
      </c>
      <c r="F16" s="16" t="s">
        <v>157</v>
      </c>
      <c r="G16" s="16" t="s">
        <v>158</v>
      </c>
      <c r="H16" s="16" t="s">
        <v>159</v>
      </c>
      <c r="I16" s="16" t="s">
        <v>160</v>
      </c>
      <c r="J16" s="16" t="s">
        <v>161</v>
      </c>
      <c r="K16" s="16" t="s">
        <v>162</v>
      </c>
      <c r="L16" s="16" t="s">
        <v>163</v>
      </c>
      <c r="M16" s="16" t="s">
        <v>164</v>
      </c>
      <c r="N16" s="16" t="s">
        <v>165</v>
      </c>
      <c r="O16" s="16" t="s">
        <v>166</v>
      </c>
      <c r="P16" s="16" t="s">
        <v>167</v>
      </c>
    </row>
    <row r="17" spans="1:16" ht="14" x14ac:dyDescent="0.15">
      <c r="A17" s="8" t="s">
        <v>168</v>
      </c>
      <c r="B17" s="17">
        <f>SUM(C17:P17)</f>
        <v>56</v>
      </c>
      <c r="C17" s="17">
        <v>4</v>
      </c>
      <c r="D17" s="17">
        <v>4</v>
      </c>
      <c r="E17" s="17">
        <v>4</v>
      </c>
      <c r="F17" s="17">
        <v>4</v>
      </c>
      <c r="G17" s="17">
        <v>4</v>
      </c>
      <c r="H17" s="17">
        <v>4</v>
      </c>
      <c r="I17" s="17">
        <v>4</v>
      </c>
      <c r="J17" s="17">
        <v>4</v>
      </c>
      <c r="K17" s="17">
        <v>4</v>
      </c>
      <c r="L17" s="17">
        <v>4</v>
      </c>
      <c r="M17" s="17">
        <v>4</v>
      </c>
      <c r="N17" s="17">
        <v>4</v>
      </c>
      <c r="O17" s="17">
        <v>4</v>
      </c>
      <c r="P17" s="17">
        <v>4</v>
      </c>
    </row>
    <row r="18" spans="1:16" ht="14" x14ac:dyDescent="0.15">
      <c r="A18" s="8" t="s">
        <v>169</v>
      </c>
      <c r="B18" s="17">
        <f>SUM(C18:P18)</f>
        <v>158</v>
      </c>
      <c r="C18" s="17">
        <v>0</v>
      </c>
      <c r="D18" s="17">
        <v>8</v>
      </c>
      <c r="E18" s="17">
        <v>16</v>
      </c>
      <c r="F18" s="17">
        <v>16</v>
      </c>
      <c r="G18" s="17">
        <v>16</v>
      </c>
      <c r="H18" s="17">
        <v>16</v>
      </c>
      <c r="I18" s="17">
        <v>16</v>
      </c>
      <c r="J18" s="17">
        <v>16</v>
      </c>
      <c r="K18" s="17">
        <v>16</v>
      </c>
      <c r="L18" s="17">
        <v>16</v>
      </c>
      <c r="M18" s="17">
        <v>16</v>
      </c>
      <c r="N18" s="17">
        <v>6</v>
      </c>
      <c r="O18" s="17">
        <v>0</v>
      </c>
      <c r="P18" s="17">
        <v>0</v>
      </c>
    </row>
    <row r="19" spans="1:16" ht="14" x14ac:dyDescent="0.15">
      <c r="A19" s="8" t="s">
        <v>170</v>
      </c>
      <c r="B19" s="17">
        <f>SUM(C19:P19)</f>
        <v>48</v>
      </c>
      <c r="C19" s="17">
        <v>0</v>
      </c>
      <c r="D19" s="17">
        <v>0</v>
      </c>
      <c r="E19" s="17">
        <v>0</v>
      </c>
      <c r="F19" s="17">
        <v>8</v>
      </c>
      <c r="G19" s="17">
        <v>8</v>
      </c>
      <c r="H19" s="17">
        <v>8</v>
      </c>
      <c r="I19" s="17">
        <v>8</v>
      </c>
      <c r="J19" s="17">
        <v>8</v>
      </c>
      <c r="K19" s="17">
        <v>8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</row>
    <row r="20" spans="1:16" ht="14" x14ac:dyDescent="0.15">
      <c r="A20" s="8" t="s">
        <v>171</v>
      </c>
      <c r="B20" s="17">
        <f>SUM(C20:P20)</f>
        <v>40</v>
      </c>
      <c r="C20" s="17">
        <v>0</v>
      </c>
      <c r="D20" s="17">
        <v>0</v>
      </c>
      <c r="E20" s="17">
        <v>0</v>
      </c>
      <c r="F20" s="17">
        <v>0</v>
      </c>
      <c r="G20" s="17">
        <v>4</v>
      </c>
      <c r="H20" s="17">
        <v>8</v>
      </c>
      <c r="I20" s="17">
        <v>8</v>
      </c>
      <c r="J20" s="17">
        <v>8</v>
      </c>
      <c r="K20" s="17">
        <v>4</v>
      </c>
      <c r="L20" s="17">
        <v>4</v>
      </c>
      <c r="M20" s="17">
        <v>4</v>
      </c>
      <c r="N20" s="17">
        <v>0</v>
      </c>
      <c r="O20" s="17">
        <v>0</v>
      </c>
      <c r="P20" s="17">
        <v>0</v>
      </c>
    </row>
    <row r="21" spans="1:16" ht="14" x14ac:dyDescent="0.15">
      <c r="A21" s="8" t="s">
        <v>172</v>
      </c>
      <c r="B21" s="17">
        <f>SUM(C21:P21)</f>
        <v>32</v>
      </c>
      <c r="C21" s="17">
        <v>8</v>
      </c>
      <c r="D21" s="17">
        <v>0</v>
      </c>
      <c r="E21" s="17">
        <v>0</v>
      </c>
      <c r="F21" s="17">
        <v>4</v>
      </c>
      <c r="G21" s="17">
        <v>0</v>
      </c>
      <c r="H21" s="17">
        <v>0</v>
      </c>
      <c r="I21" s="17">
        <v>4</v>
      </c>
      <c r="J21" s="17">
        <v>0</v>
      </c>
      <c r="K21" s="17">
        <v>4</v>
      </c>
      <c r="L21" s="17">
        <v>4</v>
      </c>
      <c r="M21" s="17">
        <v>4</v>
      </c>
      <c r="N21" s="17">
        <v>4</v>
      </c>
      <c r="O21" s="17">
        <v>0</v>
      </c>
      <c r="P21" s="17">
        <v>0</v>
      </c>
    </row>
    <row r="22" spans="1:16" ht="14" x14ac:dyDescent="0.15">
      <c r="A22" s="8" t="s">
        <v>173</v>
      </c>
      <c r="B22" s="17">
        <f>SUM(C22:P22)</f>
        <v>24</v>
      </c>
      <c r="C22" s="17">
        <v>0</v>
      </c>
      <c r="D22" s="17">
        <v>0</v>
      </c>
      <c r="E22" s="17">
        <v>0</v>
      </c>
      <c r="F22" s="17">
        <v>4</v>
      </c>
      <c r="G22" s="17">
        <v>0</v>
      </c>
      <c r="H22" s="17">
        <v>4</v>
      </c>
      <c r="I22" s="17">
        <v>0</v>
      </c>
      <c r="J22" s="17">
        <v>4</v>
      </c>
      <c r="K22" s="17">
        <v>0</v>
      </c>
      <c r="L22" s="17">
        <v>4</v>
      </c>
      <c r="M22" s="17">
        <v>4</v>
      </c>
      <c r="N22" s="17">
        <v>4</v>
      </c>
      <c r="O22" s="17">
        <v>0</v>
      </c>
      <c r="P22" s="17">
        <v>0</v>
      </c>
    </row>
    <row r="23" spans="1:16" ht="14" x14ac:dyDescent="0.15">
      <c r="A23" s="8" t="s">
        <v>174</v>
      </c>
      <c r="B23" s="17">
        <f>SUM(C23:P23)</f>
        <v>16</v>
      </c>
      <c r="C23" s="17">
        <v>8</v>
      </c>
      <c r="D23" s="17">
        <v>8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</row>
    <row r="25" spans="1:16" ht="14" x14ac:dyDescent="0.15">
      <c r="A25" s="14" t="s">
        <v>175</v>
      </c>
      <c r="B25" s="14">
        <f>SUM(B17:B23)</f>
        <v>374</v>
      </c>
      <c r="C25" s="14">
        <f>SUM(C17:C23)</f>
        <v>20</v>
      </c>
      <c r="D25" s="14">
        <f>SUM(D17:D23)</f>
        <v>20</v>
      </c>
      <c r="E25" s="14">
        <f>SUM(E17:E23)</f>
        <v>20</v>
      </c>
      <c r="F25" s="14">
        <f>SUM(F17:F23)</f>
        <v>36</v>
      </c>
      <c r="G25" s="14">
        <f>SUM(G17:G23)</f>
        <v>32</v>
      </c>
      <c r="H25" s="14">
        <f>SUM(H17:H23)</f>
        <v>40</v>
      </c>
      <c r="I25" s="14">
        <f>SUM(I17:I23)</f>
        <v>40</v>
      </c>
      <c r="J25" s="14">
        <f>SUM(J17:J23)</f>
        <v>40</v>
      </c>
      <c r="K25" s="14">
        <f>SUM(K17:K23)</f>
        <v>36</v>
      </c>
      <c r="L25" s="14">
        <f>SUM(L17:L23)</f>
        <v>32</v>
      </c>
      <c r="M25" s="14">
        <f>SUM(M17:M23)</f>
        <v>32</v>
      </c>
      <c r="N25" s="14">
        <f>SUM(N17:N23)</f>
        <v>18</v>
      </c>
      <c r="O25" s="14">
        <f>SUM(O17:O23)</f>
        <v>4</v>
      </c>
      <c r="P25" s="14">
        <f>SUM(P17:P23)</f>
        <v>4</v>
      </c>
    </row>
    <row r="27" spans="1:16" ht="14" x14ac:dyDescent="0.15">
      <c r="A27" s="1" t="s">
        <v>176</v>
      </c>
      <c r="B27" s="1"/>
      <c r="F27" s="1" t="s">
        <v>177</v>
      </c>
      <c r="G27" s="1"/>
      <c r="H27" s="1"/>
      <c r="I27" s="1"/>
      <c r="J27" s="1"/>
      <c r="L27" s="1" t="s">
        <v>178</v>
      </c>
      <c r="M27" s="1"/>
      <c r="N27" s="1"/>
      <c r="O27" s="1"/>
      <c r="P27" s="1"/>
    </row>
    <row r="28" spans="1:16" ht="14" x14ac:dyDescent="0.15">
      <c r="A28" s="8" t="s">
        <v>153</v>
      </c>
      <c r="B28" s="8" t="s">
        <v>179</v>
      </c>
      <c r="L28" s="23" t="s">
        <v>180</v>
      </c>
      <c r="M28" s="23"/>
      <c r="N28" s="23"/>
      <c r="O28" s="8" t="s">
        <v>181</v>
      </c>
      <c r="P28" s="8" t="s">
        <v>182</v>
      </c>
    </row>
    <row r="29" spans="1:16" ht="14" x14ac:dyDescent="0.15">
      <c r="A29" s="17" t="s">
        <v>168</v>
      </c>
      <c r="B29" s="18">
        <v>195</v>
      </c>
      <c r="F29" s="21" t="s">
        <v>183</v>
      </c>
      <c r="G29" s="21"/>
      <c r="H29" s="21"/>
      <c r="I29" s="21"/>
      <c r="J29" s="19">
        <v>46084</v>
      </c>
      <c r="L29" s="21" t="s">
        <v>184</v>
      </c>
      <c r="M29" s="21"/>
      <c r="N29" s="21"/>
      <c r="O29" s="17">
        <f>B17</f>
        <v>56</v>
      </c>
      <c r="P29" s="18">
        <f>O29*$J$34</f>
        <v>8400</v>
      </c>
    </row>
    <row r="30" spans="1:16" ht="14" x14ac:dyDescent="0.15">
      <c r="A30" s="17" t="s">
        <v>169</v>
      </c>
      <c r="B30" s="18">
        <v>175</v>
      </c>
      <c r="F30" s="21" t="s">
        <v>185</v>
      </c>
      <c r="G30" s="21"/>
      <c r="H30" s="21"/>
      <c r="I30" s="21"/>
      <c r="J30" s="19">
        <v>46168</v>
      </c>
      <c r="L30" s="21" t="s">
        <v>186</v>
      </c>
      <c r="M30" s="21"/>
      <c r="N30" s="21"/>
      <c r="O30" s="17">
        <f>B18</f>
        <v>158</v>
      </c>
      <c r="P30" s="18">
        <f t="shared" ref="P30:P35" si="0">O30*$J$34</f>
        <v>23700</v>
      </c>
    </row>
    <row r="31" spans="1:16" ht="14" x14ac:dyDescent="0.15">
      <c r="A31" s="17" t="s">
        <v>170</v>
      </c>
      <c r="B31" s="18">
        <v>195</v>
      </c>
      <c r="F31" s="21" t="s">
        <v>187</v>
      </c>
      <c r="G31" s="21"/>
      <c r="H31" s="21"/>
      <c r="I31" s="21"/>
      <c r="J31" s="17">
        <f>ROUNDUP((J30-J29)/7,0)</f>
        <v>12</v>
      </c>
      <c r="L31" s="21" t="s">
        <v>188</v>
      </c>
      <c r="M31" s="21"/>
      <c r="N31" s="21"/>
      <c r="O31" s="17">
        <f>B19</f>
        <v>48</v>
      </c>
      <c r="P31" s="18">
        <f t="shared" si="0"/>
        <v>7200</v>
      </c>
    </row>
    <row r="32" spans="1:16" ht="14" x14ac:dyDescent="0.15">
      <c r="A32" s="17" t="s">
        <v>172</v>
      </c>
      <c r="B32" s="18">
        <v>225</v>
      </c>
      <c r="F32" s="21" t="s">
        <v>189</v>
      </c>
      <c r="G32" s="21"/>
      <c r="H32" s="21"/>
      <c r="I32" s="21"/>
      <c r="J32" s="17">
        <f>J31*7</f>
        <v>84</v>
      </c>
      <c r="L32" s="21" t="s">
        <v>144</v>
      </c>
      <c r="M32" s="21"/>
      <c r="N32" s="21"/>
      <c r="O32" s="17">
        <f>B20</f>
        <v>40</v>
      </c>
      <c r="P32" s="18">
        <f t="shared" si="0"/>
        <v>6000</v>
      </c>
    </row>
    <row r="33" spans="1:16" ht="14" x14ac:dyDescent="0.15">
      <c r="A33" s="17" t="s">
        <v>173</v>
      </c>
      <c r="B33" s="18">
        <v>140</v>
      </c>
      <c r="F33" s="21" t="s">
        <v>190</v>
      </c>
      <c r="G33" s="21"/>
      <c r="H33" s="21"/>
      <c r="I33" s="21"/>
      <c r="J33" s="18">
        <f>IFERROR(SUMPRODUCT(B16:B22,B28:B34)/SUM(B16:B22),0)</f>
        <v>184.60893854748602</v>
      </c>
      <c r="L33" s="21" t="s">
        <v>147</v>
      </c>
      <c r="M33" s="21"/>
      <c r="N33" s="21"/>
      <c r="O33" s="17">
        <f>B21</f>
        <v>32</v>
      </c>
      <c r="P33" s="18">
        <f t="shared" si="0"/>
        <v>4800</v>
      </c>
    </row>
    <row r="34" spans="1:16" ht="14" x14ac:dyDescent="0.15">
      <c r="A34" s="17" t="s">
        <v>174</v>
      </c>
      <c r="B34" s="18">
        <v>195</v>
      </c>
      <c r="F34" s="21" t="s">
        <v>223</v>
      </c>
      <c r="G34" s="21"/>
      <c r="H34" s="21"/>
      <c r="I34" s="21"/>
      <c r="J34" s="18">
        <v>150</v>
      </c>
      <c r="L34" s="21" t="s">
        <v>192</v>
      </c>
      <c r="M34" s="21"/>
      <c r="N34" s="21"/>
      <c r="O34" s="17">
        <f>B22</f>
        <v>24</v>
      </c>
      <c r="P34" s="18">
        <f t="shared" si="0"/>
        <v>3600</v>
      </c>
    </row>
    <row r="35" spans="1:16" ht="14" x14ac:dyDescent="0.15">
      <c r="A35" s="17" t="s">
        <v>171</v>
      </c>
      <c r="B35" s="18">
        <v>140</v>
      </c>
      <c r="F35" s="15" t="s">
        <v>191</v>
      </c>
      <c r="G35" s="15"/>
      <c r="H35" s="15"/>
      <c r="I35" s="15"/>
      <c r="J35" s="15">
        <f>B25</f>
        <v>374</v>
      </c>
      <c r="L35" s="21" t="s">
        <v>149</v>
      </c>
      <c r="M35" s="21"/>
      <c r="N35" s="21"/>
      <c r="O35" s="17">
        <f>B23</f>
        <v>16</v>
      </c>
      <c r="P35" s="18">
        <f t="shared" si="0"/>
        <v>2400</v>
      </c>
    </row>
    <row r="36" spans="1:16" ht="14" x14ac:dyDescent="0.15">
      <c r="F36" s="17" t="s">
        <v>193</v>
      </c>
      <c r="G36" s="17"/>
      <c r="H36" s="17"/>
      <c r="I36" s="17"/>
      <c r="J36" s="17">
        <f>IFERROR(B25/J31,0)</f>
        <v>31.166666666666668</v>
      </c>
      <c r="L36" s="24"/>
      <c r="M36" s="24"/>
      <c r="N36" s="24"/>
    </row>
    <row r="37" spans="1:16" ht="14" x14ac:dyDescent="0.15">
      <c r="F37" s="17" t="s">
        <v>194</v>
      </c>
      <c r="G37" s="17"/>
      <c r="H37" s="17"/>
      <c r="I37" s="17"/>
      <c r="J37" s="18">
        <f>IFERROR(J34*J36,0)</f>
        <v>4675</v>
      </c>
      <c r="L37" s="22" t="s">
        <v>175</v>
      </c>
      <c r="M37" s="22"/>
      <c r="N37" s="22"/>
      <c r="O37" s="14">
        <f>SUM(O29:O35)</f>
        <v>374</v>
      </c>
      <c r="P37" s="20">
        <f>SUM(P29:P35)</f>
        <v>56100</v>
      </c>
    </row>
    <row r="38" spans="1:16" ht="14" x14ac:dyDescent="0.15">
      <c r="F38" s="17" t="s">
        <v>195</v>
      </c>
      <c r="G38" s="17"/>
      <c r="H38" s="17"/>
      <c r="I38" s="17"/>
      <c r="J38" s="18">
        <f>J37*2</f>
        <v>9350</v>
      </c>
    </row>
    <row r="39" spans="1:16" ht="14" x14ac:dyDescent="0.15">
      <c r="F39" s="14" t="s">
        <v>175</v>
      </c>
      <c r="G39" s="14"/>
      <c r="H39" s="14"/>
      <c r="I39" s="14"/>
      <c r="J39" s="20">
        <f>J35*J34</f>
        <v>56100</v>
      </c>
    </row>
  </sheetData>
  <mergeCells count="16">
    <mergeCell ref="L35:N35"/>
    <mergeCell ref="L36:N36"/>
    <mergeCell ref="L37:N37"/>
    <mergeCell ref="F33:I33"/>
    <mergeCell ref="L28:N28"/>
    <mergeCell ref="L29:N29"/>
    <mergeCell ref="L30:N30"/>
    <mergeCell ref="L31:N31"/>
    <mergeCell ref="L32:N32"/>
    <mergeCell ref="L33:N33"/>
    <mergeCell ref="L34:N34"/>
    <mergeCell ref="F29:I29"/>
    <mergeCell ref="F30:I30"/>
    <mergeCell ref="F31:I31"/>
    <mergeCell ref="F32:I32"/>
    <mergeCell ref="F34:I34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U49"/>
  <sheetViews>
    <sheetView zoomScale="140" zoomScaleNormal="140" workbookViewId="0">
      <selection activeCell="P52" sqref="P52"/>
    </sheetView>
  </sheetViews>
  <sheetFormatPr baseColWidth="10" defaultColWidth="12.6640625" defaultRowHeight="15.75" customHeight="1" x14ac:dyDescent="0.15"/>
  <cols>
    <col min="1" max="1" width="25" customWidth="1"/>
    <col min="15" max="15" width="13.5" bestFit="1" customWidth="1"/>
  </cols>
  <sheetData>
    <row r="1" spans="1:21" ht="15.75" customHeight="1" x14ac:dyDescent="0.15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3" x14ac:dyDescent="0.15"/>
    <row r="3" spans="1:21" ht="15.75" customHeight="1" x14ac:dyDescent="0.15">
      <c r="A3" s="1" t="s">
        <v>131</v>
      </c>
      <c r="B3" s="1" t="s">
        <v>132</v>
      </c>
      <c r="C3" s="1"/>
      <c r="D3" s="1" t="s">
        <v>133</v>
      </c>
      <c r="E3" s="1"/>
      <c r="F3" s="1" t="s">
        <v>134</v>
      </c>
      <c r="G3" s="1"/>
      <c r="H3" s="1" t="s">
        <v>135</v>
      </c>
      <c r="I3" s="1"/>
      <c r="J3" s="1" t="s">
        <v>136</v>
      </c>
      <c r="K3" s="1"/>
      <c r="L3" s="1" t="s">
        <v>137</v>
      </c>
      <c r="M3" s="1"/>
      <c r="N3" s="1" t="s">
        <v>196</v>
      </c>
      <c r="O3" s="1"/>
      <c r="P3" s="1" t="s">
        <v>197</v>
      </c>
      <c r="Q3" s="1"/>
      <c r="R3" s="1" t="s">
        <v>198</v>
      </c>
      <c r="S3" s="1"/>
      <c r="T3" s="1" t="s">
        <v>16</v>
      </c>
      <c r="U3" s="1"/>
    </row>
    <row r="4" spans="1:21" ht="15.75" customHeight="1" x14ac:dyDescent="0.15">
      <c r="A4" s="6" t="s">
        <v>138</v>
      </c>
      <c r="B4" s="7">
        <v>46084</v>
      </c>
      <c r="C4" s="7">
        <v>46091</v>
      </c>
      <c r="D4" s="7">
        <v>46098</v>
      </c>
      <c r="E4" s="7">
        <v>46105</v>
      </c>
      <c r="F4" s="7">
        <v>46112</v>
      </c>
      <c r="G4" s="7">
        <v>46119</v>
      </c>
      <c r="H4" s="7">
        <v>46126</v>
      </c>
      <c r="I4" s="7">
        <v>46133</v>
      </c>
      <c r="J4" s="7">
        <v>46140</v>
      </c>
      <c r="K4" s="7">
        <v>46147</v>
      </c>
      <c r="L4" s="7">
        <v>46154</v>
      </c>
      <c r="M4" s="7">
        <v>46161</v>
      </c>
      <c r="N4" s="7">
        <v>46168</v>
      </c>
      <c r="O4" s="7">
        <v>46175</v>
      </c>
      <c r="P4" s="7">
        <v>46182</v>
      </c>
      <c r="Q4" s="7">
        <v>46189</v>
      </c>
      <c r="R4" s="7">
        <v>46196</v>
      </c>
      <c r="S4" s="7">
        <v>46203</v>
      </c>
      <c r="T4" s="7">
        <v>46210</v>
      </c>
      <c r="U4" s="7">
        <v>46217</v>
      </c>
    </row>
    <row r="6" spans="1:21" ht="15.75" customHeight="1" x14ac:dyDescent="0.15">
      <c r="A6" s="8" t="s">
        <v>199</v>
      </c>
    </row>
    <row r="7" spans="1:21" ht="15.75" customHeight="1" x14ac:dyDescent="0.15">
      <c r="A7" s="8" t="s">
        <v>200</v>
      </c>
      <c r="B7" s="9" t="s">
        <v>201</v>
      </c>
      <c r="C7" s="9" t="s">
        <v>201</v>
      </c>
      <c r="D7" s="9" t="s">
        <v>202</v>
      </c>
      <c r="E7" s="9" t="s">
        <v>202</v>
      </c>
    </row>
    <row r="8" spans="1:21" ht="15.75" customHeight="1" x14ac:dyDescent="0.15">
      <c r="A8" s="8" t="s">
        <v>203</v>
      </c>
      <c r="D8" s="9" t="s">
        <v>204</v>
      </c>
      <c r="E8" s="9" t="s">
        <v>204</v>
      </c>
      <c r="F8" s="9" t="s">
        <v>204</v>
      </c>
      <c r="G8" s="9" t="s">
        <v>204</v>
      </c>
    </row>
    <row r="9" spans="1:21" ht="15.75" customHeight="1" x14ac:dyDescent="0.15">
      <c r="A9" s="8" t="s">
        <v>205</v>
      </c>
      <c r="F9" s="9" t="s">
        <v>206</v>
      </c>
      <c r="G9" s="9" t="s">
        <v>206</v>
      </c>
      <c r="H9" s="9" t="s">
        <v>206</v>
      </c>
      <c r="I9" s="9" t="s">
        <v>206</v>
      </c>
    </row>
    <row r="10" spans="1:21" ht="15.75" customHeight="1" x14ac:dyDescent="0.15">
      <c r="A10" s="8" t="s">
        <v>207</v>
      </c>
      <c r="H10" s="9" t="s">
        <v>208</v>
      </c>
      <c r="I10" s="9" t="s">
        <v>208</v>
      </c>
    </row>
    <row r="11" spans="1:21" ht="15.75" customHeight="1" x14ac:dyDescent="0.15">
      <c r="A11" s="8" t="s">
        <v>209</v>
      </c>
      <c r="E11" s="13" t="s">
        <v>210</v>
      </c>
      <c r="G11" s="13" t="s">
        <v>210</v>
      </c>
      <c r="I11" s="13" t="s">
        <v>211</v>
      </c>
    </row>
    <row r="12" spans="1:21" ht="15.75" customHeight="1" x14ac:dyDescent="0.15">
      <c r="A12" s="8"/>
    </row>
    <row r="13" spans="1:21" ht="15.75" customHeight="1" x14ac:dyDescent="0.15">
      <c r="A13" s="8" t="s">
        <v>212</v>
      </c>
    </row>
    <row r="14" spans="1:21" ht="15.75" customHeight="1" x14ac:dyDescent="0.15">
      <c r="A14" s="8" t="s">
        <v>139</v>
      </c>
      <c r="J14" s="9" t="s">
        <v>139</v>
      </c>
    </row>
    <row r="15" spans="1:21" ht="15.75" customHeight="1" x14ac:dyDescent="0.15">
      <c r="A15" s="8" t="s">
        <v>140</v>
      </c>
      <c r="K15" s="10" t="s">
        <v>141</v>
      </c>
      <c r="L15" s="10" t="s">
        <v>141</v>
      </c>
      <c r="M15" s="10" t="s">
        <v>141</v>
      </c>
      <c r="N15" s="10" t="s">
        <v>141</v>
      </c>
      <c r="O15" s="10" t="s">
        <v>141</v>
      </c>
      <c r="P15" s="10" t="s">
        <v>141</v>
      </c>
      <c r="Q15" s="10" t="s">
        <v>141</v>
      </c>
      <c r="R15" s="10" t="s">
        <v>141</v>
      </c>
    </row>
    <row r="16" spans="1:21" ht="15.75" customHeight="1" x14ac:dyDescent="0.15">
      <c r="A16" s="8" t="s">
        <v>213</v>
      </c>
      <c r="M16" s="10" t="s">
        <v>143</v>
      </c>
      <c r="N16" s="10" t="s">
        <v>143</v>
      </c>
      <c r="O16" s="10" t="s">
        <v>143</v>
      </c>
      <c r="P16" s="10"/>
      <c r="Q16" s="10"/>
      <c r="R16" s="10"/>
    </row>
    <row r="17" spans="1:21" ht="15.75" customHeight="1" x14ac:dyDescent="0.15">
      <c r="A17" s="8" t="s">
        <v>144</v>
      </c>
      <c r="N17" s="11" t="s">
        <v>144</v>
      </c>
      <c r="O17" s="11" t="s">
        <v>144</v>
      </c>
      <c r="P17" s="11" t="s">
        <v>144</v>
      </c>
      <c r="Q17" s="11" t="s">
        <v>144</v>
      </c>
    </row>
    <row r="18" spans="1:21" ht="15.75" customHeight="1" x14ac:dyDescent="0.15">
      <c r="A18" s="8" t="s">
        <v>145</v>
      </c>
      <c r="J18" s="12" t="s">
        <v>146</v>
      </c>
      <c r="N18" s="12" t="s">
        <v>147</v>
      </c>
      <c r="P18" s="12" t="s">
        <v>147</v>
      </c>
      <c r="R18" s="12" t="s">
        <v>147</v>
      </c>
    </row>
    <row r="19" spans="1:21" ht="15.75" customHeight="1" x14ac:dyDescent="0.15">
      <c r="A19" s="8" t="s">
        <v>148</v>
      </c>
      <c r="M19" s="13" t="s">
        <v>148</v>
      </c>
      <c r="O19" s="13" t="s">
        <v>148</v>
      </c>
      <c r="Q19" s="13" t="s">
        <v>148</v>
      </c>
      <c r="R19" s="13" t="s">
        <v>148</v>
      </c>
      <c r="S19" s="13" t="s">
        <v>148</v>
      </c>
    </row>
    <row r="20" spans="1:21" ht="15.75" customHeight="1" x14ac:dyDescent="0.15">
      <c r="A20" s="8" t="s">
        <v>150</v>
      </c>
      <c r="R20" s="14" t="s">
        <v>150</v>
      </c>
      <c r="S20" s="14" t="s">
        <v>150</v>
      </c>
    </row>
    <row r="22" spans="1:21" ht="15.75" customHeight="1" x14ac:dyDescent="0.15">
      <c r="A22" s="1" t="s">
        <v>151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4" spans="1:21" ht="15.75" customHeight="1" x14ac:dyDescent="0.15">
      <c r="A24" s="16" t="s">
        <v>153</v>
      </c>
      <c r="B24" s="16" t="s">
        <v>152</v>
      </c>
      <c r="C24" s="16" t="s">
        <v>154</v>
      </c>
      <c r="D24" s="16" t="s">
        <v>155</v>
      </c>
      <c r="E24" s="16" t="s">
        <v>156</v>
      </c>
      <c r="F24" s="16" t="s">
        <v>157</v>
      </c>
      <c r="G24" s="16" t="s">
        <v>158</v>
      </c>
      <c r="H24" s="16" t="s">
        <v>159</v>
      </c>
      <c r="I24" s="16" t="s">
        <v>160</v>
      </c>
      <c r="J24" s="16" t="s">
        <v>161</v>
      </c>
      <c r="K24" s="16" t="s">
        <v>162</v>
      </c>
      <c r="L24" s="16" t="s">
        <v>163</v>
      </c>
      <c r="M24" s="16" t="s">
        <v>164</v>
      </c>
      <c r="N24" s="16" t="s">
        <v>165</v>
      </c>
      <c r="O24" s="16" t="s">
        <v>166</v>
      </c>
      <c r="P24" s="16" t="s">
        <v>167</v>
      </c>
      <c r="Q24" s="16" t="s">
        <v>214</v>
      </c>
      <c r="R24" s="16" t="s">
        <v>215</v>
      </c>
      <c r="S24" s="16" t="s">
        <v>216</v>
      </c>
      <c r="T24" s="16" t="s">
        <v>217</v>
      </c>
      <c r="U24" s="16"/>
    </row>
    <row r="25" spans="1:21" ht="15.75" customHeight="1" x14ac:dyDescent="0.15">
      <c r="A25" s="17" t="s">
        <v>168</v>
      </c>
      <c r="B25" s="17">
        <f t="shared" ref="B25:B33" si="0">SUM(C25:T25)</f>
        <v>72</v>
      </c>
      <c r="C25" s="17">
        <v>4</v>
      </c>
      <c r="D25" s="17">
        <v>4</v>
      </c>
      <c r="E25" s="17">
        <v>4</v>
      </c>
      <c r="F25" s="17">
        <v>4</v>
      </c>
      <c r="G25" s="17">
        <v>4</v>
      </c>
      <c r="H25" s="17">
        <v>4</v>
      </c>
      <c r="I25" s="17">
        <v>4</v>
      </c>
      <c r="J25" s="17">
        <v>4</v>
      </c>
      <c r="K25" s="17">
        <v>4</v>
      </c>
      <c r="L25" s="17">
        <v>4</v>
      </c>
      <c r="M25" s="17">
        <v>4</v>
      </c>
      <c r="N25" s="17">
        <v>4</v>
      </c>
      <c r="O25" s="17">
        <v>4</v>
      </c>
      <c r="P25" s="17">
        <v>4</v>
      </c>
      <c r="Q25" s="17">
        <v>4</v>
      </c>
      <c r="R25" s="17">
        <v>4</v>
      </c>
      <c r="S25" s="17">
        <v>4</v>
      </c>
      <c r="T25" s="17">
        <v>4</v>
      </c>
    </row>
    <row r="26" spans="1:21" ht="15.75" customHeight="1" x14ac:dyDescent="0.15">
      <c r="A26" s="17" t="s">
        <v>218</v>
      </c>
      <c r="B26" s="17">
        <f t="shared" si="0"/>
        <v>80</v>
      </c>
      <c r="C26" s="17">
        <v>8</v>
      </c>
      <c r="D26" s="17">
        <v>8</v>
      </c>
      <c r="E26" s="17">
        <v>12</v>
      </c>
      <c r="F26" s="17">
        <v>12</v>
      </c>
      <c r="G26" s="17">
        <v>12</v>
      </c>
      <c r="H26" s="17">
        <v>12</v>
      </c>
      <c r="I26" s="17">
        <v>8</v>
      </c>
      <c r="J26" s="17">
        <v>8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</row>
    <row r="27" spans="1:21" ht="15.75" customHeight="1" x14ac:dyDescent="0.15">
      <c r="A27" s="17" t="s">
        <v>219</v>
      </c>
      <c r="B27" s="17">
        <f t="shared" si="0"/>
        <v>76</v>
      </c>
      <c r="C27" s="17">
        <v>0</v>
      </c>
      <c r="D27" s="17">
        <v>0</v>
      </c>
      <c r="E27" s="17">
        <v>4</v>
      </c>
      <c r="F27" s="17">
        <v>4</v>
      </c>
      <c r="G27" s="17">
        <v>12</v>
      </c>
      <c r="H27" s="17">
        <v>12</v>
      </c>
      <c r="I27" s="17">
        <v>16</v>
      </c>
      <c r="J27" s="17">
        <v>16</v>
      </c>
      <c r="K27" s="17">
        <v>0</v>
      </c>
      <c r="L27" s="17">
        <v>4</v>
      </c>
      <c r="M27" s="17">
        <v>4</v>
      </c>
      <c r="N27" s="17">
        <v>4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</row>
    <row r="28" spans="1:21" ht="15.75" customHeight="1" x14ac:dyDescent="0.15">
      <c r="A28" s="17" t="s">
        <v>220</v>
      </c>
      <c r="B28" s="17">
        <f t="shared" si="0"/>
        <v>24</v>
      </c>
      <c r="C28" s="17">
        <v>4</v>
      </c>
      <c r="D28" s="17">
        <v>4</v>
      </c>
      <c r="E28" s="17">
        <v>0</v>
      </c>
      <c r="F28" s="17">
        <v>4</v>
      </c>
      <c r="G28" s="17">
        <v>0</v>
      </c>
      <c r="H28" s="17">
        <v>4</v>
      </c>
      <c r="I28" s="17">
        <v>0</v>
      </c>
      <c r="J28" s="17">
        <v>4</v>
      </c>
      <c r="K28" s="17">
        <v>0</v>
      </c>
      <c r="L28" s="17">
        <v>0</v>
      </c>
      <c r="M28" s="17">
        <v>0</v>
      </c>
      <c r="N28" s="17">
        <v>4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</row>
    <row r="29" spans="1:21" ht="15.75" customHeight="1" x14ac:dyDescent="0.15">
      <c r="A29" s="17" t="s">
        <v>169</v>
      </c>
      <c r="B29" s="17">
        <f t="shared" si="0"/>
        <v>136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8</v>
      </c>
      <c r="M29" s="17">
        <v>16</v>
      </c>
      <c r="N29" s="17">
        <v>16</v>
      </c>
      <c r="O29" s="17">
        <v>16</v>
      </c>
      <c r="P29" s="17">
        <v>16</v>
      </c>
      <c r="Q29" s="17">
        <v>16</v>
      </c>
      <c r="R29" s="17">
        <v>16</v>
      </c>
      <c r="S29" s="17">
        <v>16</v>
      </c>
      <c r="T29" s="17">
        <v>16</v>
      </c>
    </row>
    <row r="30" spans="1:21" ht="15.75" customHeight="1" x14ac:dyDescent="0.15">
      <c r="A30" s="17" t="s">
        <v>170</v>
      </c>
      <c r="B30" s="17">
        <f t="shared" si="0"/>
        <v>48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8</v>
      </c>
      <c r="O30" s="17">
        <v>8</v>
      </c>
      <c r="P30" s="17">
        <v>8</v>
      </c>
      <c r="Q30" s="17">
        <v>8</v>
      </c>
      <c r="R30" s="17">
        <v>8</v>
      </c>
      <c r="S30" s="17">
        <v>8</v>
      </c>
      <c r="T30" s="17">
        <v>0</v>
      </c>
    </row>
    <row r="31" spans="1:21" ht="15.75" customHeight="1" x14ac:dyDescent="0.15">
      <c r="A31" s="17" t="s">
        <v>171</v>
      </c>
      <c r="B31" s="17">
        <f t="shared" si="0"/>
        <v>40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4</v>
      </c>
      <c r="P31" s="17">
        <v>8</v>
      </c>
      <c r="Q31" s="17">
        <v>8</v>
      </c>
      <c r="R31" s="17">
        <v>8</v>
      </c>
      <c r="S31" s="17">
        <v>8</v>
      </c>
      <c r="T31" s="17">
        <v>4</v>
      </c>
    </row>
    <row r="32" spans="1:21" ht="15.75" customHeight="1" x14ac:dyDescent="0.15">
      <c r="A32" s="17" t="s">
        <v>172</v>
      </c>
      <c r="B32" s="17">
        <f t="shared" si="0"/>
        <v>24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8</v>
      </c>
      <c r="L32" s="17">
        <v>0</v>
      </c>
      <c r="M32" s="17">
        <v>0</v>
      </c>
      <c r="N32" s="17">
        <v>0</v>
      </c>
      <c r="O32" s="17">
        <v>4</v>
      </c>
      <c r="P32" s="17">
        <v>0</v>
      </c>
      <c r="Q32" s="17">
        <v>4</v>
      </c>
      <c r="R32" s="17">
        <v>0</v>
      </c>
      <c r="S32" s="17">
        <v>4</v>
      </c>
      <c r="T32" s="17">
        <v>4</v>
      </c>
    </row>
    <row r="33" spans="1:21" ht="15.75" customHeight="1" x14ac:dyDescent="0.15">
      <c r="A33" s="17" t="s">
        <v>173</v>
      </c>
      <c r="B33" s="17">
        <f t="shared" si="0"/>
        <v>20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4</v>
      </c>
      <c r="O33" s="17">
        <v>0</v>
      </c>
      <c r="P33" s="17">
        <v>4</v>
      </c>
      <c r="Q33" s="17">
        <v>0</v>
      </c>
      <c r="R33" s="17">
        <v>4</v>
      </c>
      <c r="S33" s="17">
        <v>4</v>
      </c>
      <c r="T33" s="17">
        <v>4</v>
      </c>
    </row>
    <row r="35" spans="1:21" ht="15.75" customHeight="1" x14ac:dyDescent="0.15">
      <c r="A35" s="14" t="s">
        <v>175</v>
      </c>
      <c r="B35" s="14">
        <f t="shared" ref="B35:T35" si="1">SUM(B25:B33)</f>
        <v>520</v>
      </c>
      <c r="C35" s="14">
        <f t="shared" si="1"/>
        <v>16</v>
      </c>
      <c r="D35" s="14">
        <f t="shared" si="1"/>
        <v>16</v>
      </c>
      <c r="E35" s="14">
        <f t="shared" si="1"/>
        <v>20</v>
      </c>
      <c r="F35" s="14">
        <f t="shared" si="1"/>
        <v>24</v>
      </c>
      <c r="G35" s="14">
        <f t="shared" si="1"/>
        <v>28</v>
      </c>
      <c r="H35" s="14">
        <f t="shared" si="1"/>
        <v>32</v>
      </c>
      <c r="I35" s="14">
        <f t="shared" si="1"/>
        <v>28</v>
      </c>
      <c r="J35" s="14">
        <f t="shared" si="1"/>
        <v>32</v>
      </c>
      <c r="K35" s="14">
        <f t="shared" si="1"/>
        <v>12</v>
      </c>
      <c r="L35" s="14">
        <f t="shared" si="1"/>
        <v>16</v>
      </c>
      <c r="M35" s="14">
        <f t="shared" si="1"/>
        <v>24</v>
      </c>
      <c r="N35" s="14">
        <f t="shared" si="1"/>
        <v>40</v>
      </c>
      <c r="O35" s="14">
        <f t="shared" si="1"/>
        <v>36</v>
      </c>
      <c r="P35" s="14">
        <f t="shared" si="1"/>
        <v>40</v>
      </c>
      <c r="Q35" s="14">
        <f t="shared" si="1"/>
        <v>40</v>
      </c>
      <c r="R35" s="14">
        <f t="shared" si="1"/>
        <v>40</v>
      </c>
      <c r="S35" s="14">
        <f t="shared" si="1"/>
        <v>44</v>
      </c>
      <c r="T35" s="14">
        <f t="shared" si="1"/>
        <v>32</v>
      </c>
      <c r="U35" s="14"/>
    </row>
    <row r="37" spans="1:21" ht="15.75" customHeight="1" x14ac:dyDescent="0.15">
      <c r="A37" s="1" t="s">
        <v>176</v>
      </c>
      <c r="B37" s="1"/>
      <c r="F37" s="1" t="s">
        <v>177</v>
      </c>
      <c r="G37" s="1"/>
      <c r="H37" s="1"/>
      <c r="I37" s="1"/>
      <c r="J37" s="1"/>
      <c r="L37" s="1" t="s">
        <v>178</v>
      </c>
      <c r="M37" s="1"/>
      <c r="N37" s="1"/>
      <c r="O37" s="1"/>
    </row>
    <row r="38" spans="1:21" ht="15.75" customHeight="1" x14ac:dyDescent="0.15">
      <c r="A38" s="8" t="s">
        <v>153</v>
      </c>
      <c r="B38" s="8" t="s">
        <v>179</v>
      </c>
      <c r="L38" s="23" t="s">
        <v>180</v>
      </c>
      <c r="M38" s="23"/>
      <c r="N38" s="8" t="s">
        <v>181</v>
      </c>
      <c r="O38" s="8" t="s">
        <v>182</v>
      </c>
    </row>
    <row r="39" spans="1:21" ht="15.75" customHeight="1" x14ac:dyDescent="0.15">
      <c r="A39" s="17" t="s">
        <v>168</v>
      </c>
      <c r="B39" s="18">
        <v>195</v>
      </c>
      <c r="F39" s="21" t="s">
        <v>183</v>
      </c>
      <c r="G39" s="21"/>
      <c r="H39" s="21"/>
      <c r="I39" s="21"/>
      <c r="J39" s="19">
        <v>46084</v>
      </c>
      <c r="L39" s="21" t="s">
        <v>184</v>
      </c>
      <c r="M39" s="21"/>
      <c r="N39" s="17">
        <f>B25</f>
        <v>72</v>
      </c>
      <c r="O39" s="18">
        <f>N39*$J$44</f>
        <v>10800</v>
      </c>
    </row>
    <row r="40" spans="1:21" ht="15.75" customHeight="1" x14ac:dyDescent="0.15">
      <c r="A40" s="17" t="s">
        <v>218</v>
      </c>
      <c r="B40" s="18">
        <v>175</v>
      </c>
      <c r="F40" s="21" t="s">
        <v>185</v>
      </c>
      <c r="G40" s="21"/>
      <c r="H40" s="21"/>
      <c r="I40" s="21"/>
      <c r="J40" s="19">
        <v>46217</v>
      </c>
      <c r="L40" s="21" t="s">
        <v>221</v>
      </c>
      <c r="M40" s="21"/>
      <c r="N40" s="17">
        <f>B26</f>
        <v>80</v>
      </c>
      <c r="O40" s="18">
        <f t="shared" ref="O40:O47" si="2">N40*$J$44</f>
        <v>12000</v>
      </c>
    </row>
    <row r="41" spans="1:21" ht="15.75" customHeight="1" x14ac:dyDescent="0.15">
      <c r="A41" s="17" t="s">
        <v>219</v>
      </c>
      <c r="B41" s="18">
        <v>175</v>
      </c>
      <c r="F41" s="21" t="s">
        <v>187</v>
      </c>
      <c r="G41" s="21"/>
      <c r="H41" s="21"/>
      <c r="I41" s="21"/>
      <c r="J41" s="17">
        <f>ROUNDUP((J40-J39)/7,0)</f>
        <v>19</v>
      </c>
      <c r="L41" s="21" t="s">
        <v>205</v>
      </c>
      <c r="M41" s="21"/>
      <c r="N41" s="17">
        <f>B27</f>
        <v>76</v>
      </c>
      <c r="O41" s="18">
        <f t="shared" si="2"/>
        <v>11400</v>
      </c>
    </row>
    <row r="42" spans="1:21" ht="15.75" customHeight="1" x14ac:dyDescent="0.15">
      <c r="A42" s="17" t="s">
        <v>220</v>
      </c>
      <c r="B42" s="18">
        <v>225</v>
      </c>
      <c r="F42" s="21" t="s">
        <v>189</v>
      </c>
      <c r="G42" s="21"/>
      <c r="H42" s="21"/>
      <c r="I42" s="21"/>
      <c r="J42" s="17">
        <f>J41*7</f>
        <v>133</v>
      </c>
      <c r="L42" s="21" t="s">
        <v>222</v>
      </c>
      <c r="M42" s="21"/>
      <c r="N42" s="17">
        <f>B28</f>
        <v>24</v>
      </c>
      <c r="O42" s="18">
        <f t="shared" si="2"/>
        <v>3600</v>
      </c>
    </row>
    <row r="43" spans="1:21" ht="15.75" customHeight="1" x14ac:dyDescent="0.15">
      <c r="A43" s="17" t="s">
        <v>170</v>
      </c>
      <c r="B43" s="18">
        <v>195</v>
      </c>
      <c r="F43" s="21" t="s">
        <v>190</v>
      </c>
      <c r="G43" s="21"/>
      <c r="H43" s="21"/>
      <c r="I43" s="21"/>
      <c r="J43" s="18">
        <f>IFERROR(SUMPRODUCT(B25:B33,B39:B47)/SUM(B25:B33),0)</f>
        <v>186.19230769230768</v>
      </c>
      <c r="L43" s="21" t="s">
        <v>186</v>
      </c>
      <c r="M43" s="21"/>
      <c r="N43" s="17">
        <f>B30</f>
        <v>48</v>
      </c>
      <c r="O43" s="18">
        <f t="shared" si="2"/>
        <v>7200</v>
      </c>
    </row>
    <row r="44" spans="1:21" ht="15.75" customHeight="1" x14ac:dyDescent="0.15">
      <c r="A44" s="17" t="s">
        <v>169</v>
      </c>
      <c r="B44" s="18">
        <v>175</v>
      </c>
      <c r="F44" s="25" t="s">
        <v>223</v>
      </c>
      <c r="G44" s="25"/>
      <c r="H44" s="25"/>
      <c r="I44" s="25"/>
      <c r="J44" s="18">
        <v>150</v>
      </c>
      <c r="L44" s="21" t="s">
        <v>188</v>
      </c>
      <c r="M44" s="21"/>
      <c r="N44" s="17">
        <f>B29</f>
        <v>136</v>
      </c>
      <c r="O44" s="18">
        <f t="shared" si="2"/>
        <v>20400</v>
      </c>
    </row>
    <row r="45" spans="1:21" ht="15.75" customHeight="1" x14ac:dyDescent="0.15">
      <c r="A45" s="17" t="s">
        <v>172</v>
      </c>
      <c r="B45" s="18">
        <v>225</v>
      </c>
      <c r="F45" s="21" t="s">
        <v>191</v>
      </c>
      <c r="G45" s="21"/>
      <c r="H45" s="21"/>
      <c r="I45" s="21"/>
      <c r="J45" s="17">
        <f>B35</f>
        <v>520</v>
      </c>
      <c r="L45" s="21" t="s">
        <v>144</v>
      </c>
      <c r="M45" s="21"/>
      <c r="N45" s="17">
        <f>B32</f>
        <v>24</v>
      </c>
      <c r="O45" s="18">
        <f t="shared" si="2"/>
        <v>3600</v>
      </c>
    </row>
    <row r="46" spans="1:21" ht="15.75" customHeight="1" x14ac:dyDescent="0.15">
      <c r="A46" s="17" t="s">
        <v>173</v>
      </c>
      <c r="B46" s="18">
        <v>140</v>
      </c>
      <c r="F46" s="21" t="s">
        <v>193</v>
      </c>
      <c r="G46" s="21"/>
      <c r="H46" s="21"/>
      <c r="I46" s="21"/>
      <c r="J46" s="17">
        <f>IFERROR(B35/J41,0)</f>
        <v>27.368421052631579</v>
      </c>
      <c r="L46" s="21" t="s">
        <v>147</v>
      </c>
      <c r="M46" s="21"/>
      <c r="N46" s="17">
        <f>B33</f>
        <v>20</v>
      </c>
      <c r="O46" s="18">
        <f t="shared" si="2"/>
        <v>3000</v>
      </c>
    </row>
    <row r="47" spans="1:21" ht="15.75" customHeight="1" x14ac:dyDescent="0.15">
      <c r="A47" s="17" t="s">
        <v>171</v>
      </c>
      <c r="B47" s="18">
        <v>140</v>
      </c>
      <c r="F47" s="21" t="s">
        <v>194</v>
      </c>
      <c r="G47" s="21"/>
      <c r="H47" s="21"/>
      <c r="I47" s="21"/>
      <c r="J47" s="18">
        <f>IFERROR(J43*J46,0)</f>
        <v>5095.78947368421</v>
      </c>
      <c r="L47" s="21" t="s">
        <v>192</v>
      </c>
      <c r="M47" s="21"/>
      <c r="N47" s="17">
        <f>B31</f>
        <v>40</v>
      </c>
      <c r="O47" s="18">
        <f t="shared" si="2"/>
        <v>6000</v>
      </c>
    </row>
    <row r="48" spans="1:21" ht="15.75" customHeight="1" x14ac:dyDescent="0.15">
      <c r="F48" s="21" t="s">
        <v>195</v>
      </c>
      <c r="G48" s="21"/>
      <c r="H48" s="21"/>
      <c r="I48" s="21"/>
      <c r="J48" s="18">
        <f>J47*2</f>
        <v>10191.57894736842</v>
      </c>
      <c r="L48" s="24"/>
      <c r="M48" s="24"/>
    </row>
    <row r="49" spans="6:15" ht="15.75" customHeight="1" x14ac:dyDescent="0.15">
      <c r="F49" s="14" t="s">
        <v>175</v>
      </c>
      <c r="G49" s="14"/>
      <c r="H49" s="14"/>
      <c r="I49" s="14"/>
      <c r="J49" s="20">
        <f>J45*J44</f>
        <v>78000</v>
      </c>
      <c r="L49" s="14" t="s">
        <v>175</v>
      </c>
      <c r="M49" s="14"/>
      <c r="N49" s="14">
        <f>SUM(N39:N47)</f>
        <v>520</v>
      </c>
      <c r="O49" s="26">
        <f>SUM(O39:O47)</f>
        <v>78000</v>
      </c>
    </row>
  </sheetData>
  <mergeCells count="21">
    <mergeCell ref="L43:M43"/>
    <mergeCell ref="L44:M44"/>
    <mergeCell ref="L45:M45"/>
    <mergeCell ref="L46:M46"/>
    <mergeCell ref="L47:M47"/>
    <mergeCell ref="L48:M48"/>
    <mergeCell ref="F45:I45"/>
    <mergeCell ref="F46:I46"/>
    <mergeCell ref="F47:I47"/>
    <mergeCell ref="F48:I48"/>
    <mergeCell ref="F44:I44"/>
    <mergeCell ref="L38:M38"/>
    <mergeCell ref="L39:M39"/>
    <mergeCell ref="L40:M40"/>
    <mergeCell ref="L41:M41"/>
    <mergeCell ref="L42:M42"/>
    <mergeCell ref="F39:I39"/>
    <mergeCell ref="F40:I40"/>
    <mergeCell ref="F41:I41"/>
    <mergeCell ref="F42:I42"/>
    <mergeCell ref="F43:I4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Sitemap</vt:lpstr>
      <vt:lpstr>Dev Only</vt:lpstr>
      <vt:lpstr>Full 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Yaya Lorenz</cp:lastModifiedBy>
  <cp:revision>0</cp:revision>
  <dcterms:created xsi:type="dcterms:W3CDTF">2026-02-25T20:48:53Z</dcterms:created>
  <dcterms:modified xsi:type="dcterms:W3CDTF">2026-02-25T21:04:53Z</dcterms:modified>
  <dc:language>en-US</dc:language>
</cp:coreProperties>
</file>